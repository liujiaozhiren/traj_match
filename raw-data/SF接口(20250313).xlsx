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tabRatio="901" firstSheet="6" activeTab="10"/>
  </bookViews>
  <sheets>
    <sheet name="TLV" sheetId="13" state="hidden" r:id="rId1"/>
    <sheet name="修改记录" sheetId="14" r:id="rId2"/>
    <sheet name="复合结构" sheetId="5" r:id="rId3"/>
    <sheet name="NS SETUP" sheetId="1" r:id="rId4"/>
    <sheet name="NS CONFIGURATION UPDATE" sheetId="6" r:id="rId5"/>
    <sheet name="SF CONFIGURATION UPDATE" sheetId="7" r:id="rId6"/>
    <sheet name="SENSING START" sheetId="8" r:id="rId7"/>
    <sheet name="SENSING STOP" sheetId="9" r:id="rId8"/>
    <sheet name="NS CONFIGURATION TRANSFER" sheetId="20" r:id="rId9"/>
    <sheet name="SF REST" sheetId="21" r:id="rId10"/>
    <sheet name="用户面TLV定义" sheetId="17" r:id="rId11"/>
    <sheet name="NS SENSE MEASUREMENT REPORT TLV" sheetId="15" r:id="rId12"/>
    <sheet name="NS SENSE HISTORY UPDATE TLV" sheetId="16" r:id="rId13"/>
    <sheet name="NS HEARTBEAT" sheetId="18" r:id="rId14"/>
    <sheet name="Sheet1" sheetId="19" r:id="rId15"/>
    <sheet name="NS SENSE MEASUREMENT REPORT" sheetId="11" state="hidden" r:id="rId16"/>
    <sheet name="NS SENSE HISTORY UPDATE" sheetId="12" state="hidden" r:id="rId17"/>
  </sheets>
  <calcPr calcId="144525" concurrentCalc="0"/>
</workbook>
</file>

<file path=xl/sharedStrings.xml><?xml version="1.0" encoding="utf-8"?>
<sst xmlns="http://schemas.openxmlformats.org/spreadsheetml/2006/main" count="1628" uniqueCount="566">
  <si>
    <t>SF-AS  消息名称</t>
  </si>
  <si>
    <t>消息类型MessageType</t>
  </si>
  <si>
    <t>NS-SF 消息名称</t>
  </si>
  <si>
    <t>消息类型
MessageType</t>
  </si>
  <si>
    <t>字段名称</t>
  </si>
  <si>
    <t>字段类型
TagType</t>
  </si>
  <si>
    <t>字段长度
Length</t>
  </si>
  <si>
    <t>RegisterReq</t>
  </si>
  <si>
    <t>0x0001</t>
  </si>
  <si>
    <t>NS SETUP REQUEST</t>
  </si>
  <si>
    <t>actionType</t>
  </si>
  <si>
    <t>Byte</t>
  </si>
  <si>
    <t>RegisterResp</t>
  </si>
  <si>
    <t>0x0002</t>
  </si>
  <si>
    <t>NS SETUP RESPONSE</t>
  </si>
  <si>
    <t>altitude</t>
  </si>
  <si>
    <t>double</t>
  </si>
  <si>
    <t>SenseCapabilitySynReq</t>
  </si>
  <si>
    <t>0x0003</t>
  </si>
  <si>
    <t>NS CONFIGURATION UPDATE REQUEST</t>
  </si>
  <si>
    <t>area_position_1</t>
  </si>
  <si>
    <t>Position</t>
  </si>
  <si>
    <t>SenseCapabilitySynComplete</t>
  </si>
  <si>
    <t>0x0004</t>
  </si>
  <si>
    <t>NS CONFIGURATION UPDATE RESPONSE</t>
  </si>
  <si>
    <t>area_position_2</t>
  </si>
  <si>
    <t>SenseCapabilityInd</t>
  </si>
  <si>
    <t>0x0005</t>
  </si>
  <si>
    <t>SF CONFIGURATION UPDATE REQUEST</t>
  </si>
  <si>
    <t>area_position_3</t>
  </si>
  <si>
    <t>SenseCapabilityConf</t>
  </si>
  <si>
    <t>0x0006</t>
  </si>
  <si>
    <t>SF CONFIGURATION UPDATE RESPONSE</t>
  </si>
  <si>
    <t>area_position_4</t>
  </si>
  <si>
    <t>StartSenseTaskReq</t>
  </si>
  <si>
    <t>0x0007</t>
  </si>
  <si>
    <t>SENSING START REQUEST</t>
  </si>
  <si>
    <t>cause</t>
  </si>
  <si>
    <t>uint32  范围：	
0：成功；其他: 失败</t>
  </si>
  <si>
    <t>StartSenseTaskResp</t>
  </si>
  <si>
    <t>0x0008</t>
  </si>
  <si>
    <t>SENSING START RESPONSE</t>
  </si>
  <si>
    <t>detect_rate</t>
  </si>
  <si>
    <t>float32</t>
  </si>
  <si>
    <t>SenseTaskStatusInd</t>
  </si>
  <si>
    <t>0x0009</t>
  </si>
  <si>
    <t>SENSING STOP REQUEST</t>
  </si>
  <si>
    <t>detectedObjectGroupList</t>
  </si>
  <si>
    <t>List&lt;ObjectGroup&gt;</t>
  </si>
  <si>
    <t>SenseTaskStatusConf</t>
  </si>
  <si>
    <t>0x000A</t>
  </si>
  <si>
    <t>SENSING STOP RESPONSE</t>
  </si>
  <si>
    <t>detectedObjectGroupNum</t>
  </si>
  <si>
    <t>uint32</t>
  </si>
  <si>
    <t>StopSenseTaskReq</t>
  </si>
  <si>
    <t>0x000B</t>
  </si>
  <si>
    <t>detectedObjectList</t>
  </si>
  <si>
    <t>List&lt;Object&gt;</t>
  </si>
  <si>
    <t>StopSenseTaskResp</t>
  </si>
  <si>
    <t>0x000C</t>
  </si>
  <si>
    <t>detectedObjectNum</t>
  </si>
  <si>
    <t>SenseMeasurementReport</t>
  </si>
  <si>
    <t>0x0101</t>
  </si>
  <si>
    <t>detectorID</t>
  </si>
  <si>
    <t>string</t>
  </si>
  <si>
    <t>SenseHistoryUpdate</t>
  </si>
  <si>
    <t>0x0102</t>
  </si>
  <si>
    <t>NS SENSE MEASUREMENT REPORT</t>
  </si>
  <si>
    <t>detectorPos</t>
  </si>
  <si>
    <t>NS SENSE HISTORY UPDATE</t>
  </si>
  <si>
    <t>false_alarm_rate</t>
  </si>
  <si>
    <t>gnb_id</t>
  </si>
  <si>
    <t>gnb_id_length</t>
  </si>
  <si>
    <t>uint32  范围：	
(22..32)</t>
  </si>
  <si>
    <t>GtpuInfo</t>
  </si>
  <si>
    <t/>
  </si>
  <si>
    <t>ip_address</t>
  </si>
  <si>
    <t>ip_type</t>
  </si>
  <si>
    <t>uint32  范围：	
0: ipv4
1: ipv6</t>
  </si>
  <si>
    <t>key_sense_param_group_list</t>
  </si>
  <si>
    <t>List&lt;KeySenseParamGroup&gt;</t>
  </si>
  <si>
    <t>字段类型TagType</t>
  </si>
  <si>
    <t>字段长度Length</t>
  </si>
  <si>
    <t>key_sense_param_group_num</t>
  </si>
  <si>
    <t>VenderName</t>
  </si>
  <si>
    <t>字符串长度</t>
  </si>
  <si>
    <t>KeySenseParamGroup</t>
  </si>
  <si>
    <t>SfDevId</t>
  </si>
  <si>
    <t>latitude</t>
  </si>
  <si>
    <t>AsId</t>
  </si>
  <si>
    <t>0x0103</t>
  </si>
  <si>
    <t>location</t>
  </si>
  <si>
    <t>TaskID</t>
  </si>
  <si>
    <t>0x0104</t>
  </si>
  <si>
    <t>longitude</t>
  </si>
  <si>
    <t>ResultStatus</t>
  </si>
  <si>
    <t>0x0105</t>
  </si>
  <si>
    <t>mini_rcs</t>
  </si>
  <si>
    <t>FailureResaon</t>
  </si>
  <si>
    <t>0x0106</t>
  </si>
  <si>
    <t>msgCnt</t>
  </si>
  <si>
    <t>Content</t>
  </si>
  <si>
    <t>0x0107</t>
  </si>
  <si>
    <t>msgTime</t>
  </si>
  <si>
    <t>uint64</t>
  </si>
  <si>
    <t>GridShape</t>
  </si>
  <si>
    <t>0x0108</t>
  </si>
  <si>
    <t>固定SpatialCubeid类型，长度为12字节（3*4）</t>
  </si>
  <si>
    <t>ng_ran_node_id</t>
  </si>
  <si>
    <t>GlobalNGRANNodeID</t>
  </si>
  <si>
    <t>GridOperateList</t>
  </si>
  <si>
    <t>0x0109</t>
  </si>
  <si>
    <r>
      <rPr>
        <sz val="8"/>
        <color rgb="FF1D1D1A"/>
        <rFont val="微软雅黑"/>
        <charset val="134"/>
      </rPr>
      <t>List&lt;</t>
    </r>
    <r>
      <rPr>
        <b/>
        <sz val="8"/>
        <color rgb="FF1D1D1A"/>
        <rFont val="微软雅黑"/>
        <charset val="134"/>
      </rPr>
      <t xml:space="preserve"> OperateGrid</t>
    </r>
    <r>
      <rPr>
        <sz val="8"/>
        <color rgb="FF1D1D1A"/>
        <rFont val="微软雅黑"/>
        <charset val="134"/>
      </rPr>
      <t>&gt;，1个字节的列表项数+列表的总长度（表项为TLV编码）</t>
    </r>
  </si>
  <si>
    <t>objectID</t>
  </si>
  <si>
    <t>uuid</t>
  </si>
  <si>
    <t>GridCmd</t>
  </si>
  <si>
    <t>0x010A</t>
  </si>
  <si>
    <t>objectsTrackHistoryList</t>
  </si>
  <si>
    <t>List&lt;TrackHistory&gt;</t>
  </si>
  <si>
    <t>SenseScenario</t>
  </si>
  <si>
    <t>0x010B</t>
  </si>
  <si>
    <t>objectsTrackHistoryNum</t>
  </si>
  <si>
    <t>RefreshingRateList</t>
  </si>
  <si>
    <t>0x010C</t>
  </si>
  <si>
    <t>List&lt;uint32&gt;，1字节的列表项数+项数*4</t>
  </si>
  <si>
    <t>objectTrackPoint</t>
  </si>
  <si>
    <t>TrackPoint</t>
  </si>
  <si>
    <t>KeySenseParamGroupList</t>
  </si>
  <si>
    <t>0x010D</t>
  </si>
  <si>
    <r>
      <rPr>
        <sz val="8"/>
        <color theme="1"/>
        <rFont val="微软雅黑"/>
        <charset val="134"/>
      </rPr>
      <t>List&lt;KeySenseParamGroup&gt;，</t>
    </r>
    <r>
      <rPr>
        <sz val="8"/>
        <color rgb="FF1D1D1A"/>
        <rFont val="微软雅黑"/>
        <charset val="134"/>
      </rPr>
      <t>含数目字段</t>
    </r>
  </si>
  <si>
    <t>objectType</t>
  </si>
  <si>
    <t>uint8</t>
  </si>
  <si>
    <t>0x010E</t>
  </si>
  <si>
    <t>plmn</t>
  </si>
  <si>
    <t>GridCapabilityList</t>
  </si>
  <si>
    <t>0x010F</t>
  </si>
  <si>
    <r>
      <rPr>
        <sz val="8"/>
        <color rgb="FF1D1D1A"/>
        <rFont val="微软雅黑"/>
        <charset val="134"/>
      </rPr>
      <t>List&lt;</t>
    </r>
    <r>
      <rPr>
        <b/>
        <sz val="8"/>
        <color rgb="FF1D1D1A"/>
        <rFont val="微软雅黑"/>
        <charset val="134"/>
      </rPr>
      <t>Grid</t>
    </r>
    <r>
      <rPr>
        <sz val="8"/>
        <color rgb="FF1D1D1A"/>
        <rFont val="微软雅黑"/>
        <charset val="134"/>
      </rPr>
      <t>&gt;，4个字节的列表项数+列表的总长度（表项为TLV编码）</t>
    </r>
  </si>
  <si>
    <t>GridID</t>
  </si>
  <si>
    <t>0x0110</t>
  </si>
  <si>
    <t>8个字节</t>
  </si>
  <si>
    <t>ran_gtpu_info</t>
  </si>
  <si>
    <t>GridCenterPos</t>
  </si>
  <si>
    <t>0x0111</t>
  </si>
  <si>
    <t>24个字节（Position）</t>
  </si>
  <si>
    <t>ran_sense_info_List</t>
  </si>
  <si>
    <t xml:space="preserve">RanSenseInfo  范围：	
list&lt;0..64&gt; </t>
  </si>
  <si>
    <t>SenseStartTime</t>
  </si>
  <si>
    <t>0x0112</t>
  </si>
  <si>
    <t>ran_sense_info_num</t>
  </si>
  <si>
    <t>uint32  范围：	
0..64</t>
  </si>
  <si>
    <t>SenseEndTime</t>
  </si>
  <si>
    <t>0x0113</t>
  </si>
  <si>
    <t>RanSenseInfo</t>
  </si>
  <si>
    <t>RefreshingRate</t>
  </si>
  <si>
    <t>0x0114</t>
  </si>
  <si>
    <t>ref_pos</t>
  </si>
  <si>
    <t>SenseAreaList</t>
  </si>
  <si>
    <t>0x0115</t>
  </si>
  <si>
    <r>
      <rPr>
        <sz val="8"/>
        <color rgb="FF1D1D1A"/>
        <rFont val="微软雅黑"/>
        <charset val="134"/>
      </rPr>
      <t>List&lt;</t>
    </r>
    <r>
      <rPr>
        <b/>
        <sz val="8"/>
        <color rgb="FF1D1D1A"/>
        <rFont val="微软雅黑"/>
        <charset val="134"/>
      </rPr>
      <t>Area</t>
    </r>
    <r>
      <rPr>
        <sz val="8"/>
        <color rgb="FF1D1D1A"/>
        <rFont val="微软雅黑"/>
        <charset val="134"/>
      </rPr>
      <t>&gt;，4个字节的列表项数+列表的总长度（表项为TLV编码）</t>
    </r>
  </si>
  <si>
    <t>refreshing_rate</t>
  </si>
  <si>
    <t>SenseArea</t>
  </si>
  <si>
    <t>0x0116</t>
  </si>
  <si>
    <t>Area的长度，Area内使用TLV编码</t>
  </si>
  <si>
    <t>refreshing_rate_list</t>
  </si>
  <si>
    <t>uint32  范围：	
list&lt;1..3&gt;</t>
  </si>
  <si>
    <t>AreaId</t>
  </si>
  <si>
    <t>0x0117</t>
  </si>
  <si>
    <t>refreshing_rate_num</t>
  </si>
  <si>
    <t>uint32  范围：	
1..3</t>
  </si>
  <si>
    <t>AreaPosition</t>
  </si>
  <si>
    <t>0x0118</t>
  </si>
  <si>
    <t>2*24</t>
  </si>
  <si>
    <t>sense_area_cap_item</t>
  </si>
  <si>
    <t>SenseAreaCapItem</t>
  </si>
  <si>
    <t>0x0119</t>
  </si>
  <si>
    <t>sense_area_cap_list</t>
  </si>
  <si>
    <t>SenseAreaCap  范围：	
list&lt;0..64&gt;</t>
  </si>
  <si>
    <t>0x011A</t>
  </si>
  <si>
    <r>
      <rPr>
        <sz val="8"/>
        <color rgb="FF1D1D1A"/>
        <rFont val="微软雅黑"/>
        <charset val="134"/>
      </rPr>
      <t>List&lt;</t>
    </r>
    <r>
      <rPr>
        <b/>
        <sz val="8"/>
        <color rgb="FF1D1D1A"/>
        <rFont val="微软雅黑"/>
        <charset val="134"/>
      </rPr>
      <t>ObjectGroup</t>
    </r>
    <r>
      <rPr>
        <sz val="8"/>
        <color rgb="FF1D1D1A"/>
        <rFont val="微软雅黑"/>
        <charset val="134"/>
      </rPr>
      <t>&gt;，1个字节的列表项数+列表的总长度（表项为TLV编码）</t>
    </r>
  </si>
  <si>
    <t>sense_area_cap_num</t>
  </si>
  <si>
    <t>0x011B</t>
  </si>
  <si>
    <r>
      <rPr>
        <sz val="8"/>
        <color rgb="FF1D1D1A"/>
        <rFont val="微软雅黑"/>
        <charset val="134"/>
      </rPr>
      <t>List&lt;</t>
    </r>
    <r>
      <rPr>
        <b/>
        <sz val="8"/>
        <color rgb="FF1D1D1A"/>
        <rFont val="微软雅黑"/>
        <charset val="134"/>
      </rPr>
      <t>Object</t>
    </r>
    <r>
      <rPr>
        <sz val="8"/>
        <color rgb="FF1D1D1A"/>
        <rFont val="微软雅黑"/>
        <charset val="134"/>
      </rPr>
      <t>&gt;，4个字节的列表项数+列表的总长度（表项为TLV编码）</t>
    </r>
  </si>
  <si>
    <t>sense_area_list</t>
  </si>
  <si>
    <t>SenseArea  范围：	
List&lt;1..64&gt;</t>
  </si>
  <si>
    <t>detectedObject</t>
  </si>
  <si>
    <t>0x011C</t>
  </si>
  <si>
    <t>Object长度</t>
  </si>
  <si>
    <t>sense_area_num</t>
  </si>
  <si>
    <t>uint32  范围：	
1..64</t>
  </si>
  <si>
    <t>ObjectId</t>
  </si>
  <si>
    <t>0x011D</t>
  </si>
  <si>
    <t>sense_type</t>
  </si>
  <si>
    <t>Byte  范围：	
0：Airspace
1：Ocean</t>
  </si>
  <si>
    <t>0x011E</t>
  </si>
  <si>
    <t>0x011F</t>
  </si>
  <si>
    <t>TrackPoint长度</t>
  </si>
  <si>
    <t>SenseAreaCap</t>
  </si>
  <si>
    <t>timestamp</t>
  </si>
  <si>
    <t>0x0120</t>
  </si>
  <si>
    <t>0x0121</t>
  </si>
  <si>
    <t>sensing_start_failure_list</t>
  </si>
  <si>
    <t>SenseArea  范围：	
List&lt;0..64&gt;</t>
  </si>
  <si>
    <t>speed</t>
  </si>
  <si>
    <t>0x0122</t>
  </si>
  <si>
    <t>sensing_start_failure_num</t>
  </si>
  <si>
    <t>speedXYZ</t>
  </si>
  <si>
    <t>0x0123</t>
  </si>
  <si>
    <t>sf_gtpu_info</t>
  </si>
  <si>
    <t>TrackHistoryGroupList</t>
  </si>
  <si>
    <t>0x0124</t>
  </si>
  <si>
    <r>
      <rPr>
        <sz val="8"/>
        <color rgb="FF1D1D1A"/>
        <rFont val="微软雅黑"/>
        <charset val="134"/>
      </rPr>
      <t>List&lt;</t>
    </r>
    <r>
      <rPr>
        <b/>
        <sz val="8"/>
        <color rgb="FF1D1D1A"/>
        <rFont val="微软雅黑"/>
        <charset val="134"/>
      </rPr>
      <t>TrackHistoryGroup</t>
    </r>
    <r>
      <rPr>
        <sz val="8"/>
        <color rgb="FF1D1D1A"/>
        <rFont val="微软雅黑"/>
        <charset val="134"/>
      </rPr>
      <t>&gt;，1个字节的列表项数+列表的总长度（表项为TLV编码）</t>
    </r>
  </si>
  <si>
    <t>teid</t>
  </si>
  <si>
    <t>TrackHistoryGroup</t>
  </si>
  <si>
    <t>0x0125</t>
  </si>
  <si>
    <t>trp_id</t>
  </si>
  <si>
    <t>0x0126</t>
  </si>
  <si>
    <t>trp_id_list</t>
  </si>
  <si>
    <t>uint32  范围：	
List&lt;1..64&gt;</t>
  </si>
  <si>
    <t>0x0127</t>
  </si>
  <si>
    <r>
      <rPr>
        <sz val="8"/>
        <color rgb="FF1D1D1A"/>
        <rFont val="微软雅黑"/>
        <charset val="134"/>
      </rPr>
      <t>List&lt;</t>
    </r>
    <r>
      <rPr>
        <b/>
        <sz val="8"/>
        <color rgb="FF1D1D1A"/>
        <rFont val="微软雅黑"/>
        <charset val="134"/>
      </rPr>
      <t>TrackHistory</t>
    </r>
    <r>
      <rPr>
        <sz val="8"/>
        <color rgb="FF1D1D1A"/>
        <rFont val="微软雅黑"/>
        <charset val="134"/>
      </rPr>
      <t>&gt;，4个字节的列表项数+列表的总长度（表项为TLV编码）</t>
    </r>
  </si>
  <si>
    <t>trp_id_num</t>
  </si>
  <si>
    <t>objectsTrackHistory</t>
  </si>
  <si>
    <t>0x0128</t>
  </si>
  <si>
    <r>
      <rPr>
        <b/>
        <sz val="8"/>
        <color rgb="FF1D1D1A"/>
        <rFont val="微软雅黑"/>
        <charset val="134"/>
      </rPr>
      <t xml:space="preserve">TrackHistory </t>
    </r>
    <r>
      <rPr>
        <sz val="8"/>
        <color rgb="FF1D1D1A"/>
        <rFont val="微软雅黑"/>
        <charset val="134"/>
      </rPr>
      <t>长度</t>
    </r>
  </si>
  <si>
    <t>trackPointList</t>
  </si>
  <si>
    <t>0x0129</t>
  </si>
  <si>
    <r>
      <rPr>
        <sz val="8"/>
        <color rgb="FF1D1D1A"/>
        <rFont val="微软雅黑"/>
        <charset val="134"/>
      </rPr>
      <t>List&lt;</t>
    </r>
    <r>
      <rPr>
        <b/>
        <sz val="8"/>
        <color rgb="FF1D1D1A"/>
        <rFont val="微软雅黑"/>
        <charset val="134"/>
      </rPr>
      <t>TrackPoint</t>
    </r>
    <r>
      <rPr>
        <sz val="8"/>
        <color rgb="FF1D1D1A"/>
        <rFont val="微软雅黑"/>
        <charset val="134"/>
      </rPr>
      <t>&gt;，4个字节的列表项数+列表的总长度（表项为TLV编码）</t>
    </r>
  </si>
  <si>
    <t>List&lt; OperateGrid&gt;，1个字节的列表项数+列表的总长度（表项为TLV编码）</t>
  </si>
  <si>
    <t>List&lt;KeySenseParamGroup&gt;，含数目字段</t>
  </si>
  <si>
    <t>List&lt;Grid&gt;，4个字节的列表项数+列表的总长度（表项为TLV编码）</t>
  </si>
  <si>
    <t>List&lt;Area&gt;，4个字节的列表项数+列表的总长度（表项为TLV编码）</t>
  </si>
  <si>
    <t>List&lt;ObjectGroup&gt;，1个字节的列表项数+列表的总长度（表项为TLV编码）</t>
  </si>
  <si>
    <t>List&lt;Object&gt;，4个字节的列表项数+列表的总长度（表项为TLV编码）</t>
  </si>
  <si>
    <t>List&lt;TrackHistoryGroup&gt;，1个字节的列表项数+列表的总长度（表项为TLV编码）</t>
  </si>
  <si>
    <t>List&lt;TrackHistory&gt;，4个字节的列表项数+列表的总长度（表项为TLV编码）</t>
  </si>
  <si>
    <t>TrackHistory 长度</t>
  </si>
  <si>
    <t>List&lt;TrackPoint&gt;，4个字节的列表项数+列表的总长度（表项为TLV编码）</t>
  </si>
  <si>
    <t>SF接口(20240129).xlsx
1. 对齐 《中国移动5G-A通感一体无线网络主设备样机技术要求-基带硬件分册20240125-AS-SF接口.docx》
2. 删除虚警率
3. NS CONFIGURATION UPDATE 增加 refreshing_rate_list 和 sf_gtpu_info
4. SENSING START 增加 ObjectTypeIdentify
5. NS SENSE MEASUREMENT REPORT 和 NS SENSE HISTORY UPDATE  修改 objectType</t>
  </si>
  <si>
    <t>SF接口(20240224).xlsx
1. 为适配平台gtpu流程，目前还是借用平台 UE和核心网 GTPU建立流程。基站侧需要先从核心网获取GTPU ip，用于决策ip类型。
NS SETUP REQUEST消息中：ran_gtpu_info 不再填写，新增need_sf_gtpu_info指示是否需求核心网侧的gtpu信息
NS SETUP RESPONSE消息中：SF侧gtpu信息（返回SF-U的GTPU，仅ip有效，teid固定填写RAN侧不使用）
gtpu详细填写说明见截图。</t>
  </si>
  <si>
    <t>SF接口(20240326).xlsx
1. sense_type 增加 水域场景。
2. 增加用户面TLV定义。</t>
  </si>
  <si>
    <t>SF接口(20240409).xlsx
1. 复合类型ObjectGroup定义，增加 plmn、gNBIDLen、gNBID</t>
  </si>
  <si>
    <r>
      <rPr>
        <sz val="12"/>
        <rFont val="微软雅黑"/>
        <charset val="134"/>
      </rPr>
      <t>SF接口(20240528</t>
    </r>
    <r>
      <rPr>
        <sz val="12"/>
        <rFont val="微软雅黑"/>
        <charset val="134"/>
      </rPr>
      <t>).xlsx
1. 增加置信度字段</t>
    </r>
    <r>
      <rPr>
        <sz val="12"/>
        <rFont val="微软雅黑"/>
        <charset val="134"/>
      </rPr>
      <t xml:space="preserve"> objectConfidence</t>
    </r>
    <r>
      <rPr>
        <sz val="12"/>
        <rFont val="微软雅黑"/>
        <charset val="134"/>
      </rPr>
      <t>，可选。</t>
    </r>
    <r>
      <rPr>
        <sz val="12"/>
        <rFont val="微软雅黑"/>
        <charset val="134"/>
      </rPr>
      <t>NS</t>
    </r>
    <r>
      <rPr>
        <sz val="12"/>
        <rFont val="微软雅黑"/>
        <charset val="134"/>
      </rPr>
      <t>携带信元在码流中的实现的顺序与文档定义一致，但不做协议上的强制要求。后续</t>
    </r>
    <r>
      <rPr>
        <sz val="12"/>
        <rFont val="微软雅黑"/>
        <charset val="134"/>
      </rPr>
      <t>SF</t>
    </r>
    <r>
      <rPr>
        <sz val="12"/>
        <rFont val="微软雅黑"/>
        <charset val="134"/>
      </rPr>
      <t>为了兼容性需要能够支持</t>
    </r>
    <r>
      <rPr>
        <sz val="12"/>
        <rFont val="微软雅黑"/>
        <charset val="134"/>
      </rPr>
      <t>TLV</t>
    </r>
    <r>
      <rPr>
        <sz val="12"/>
        <rFont val="微软雅黑"/>
        <charset val="134"/>
      </rPr>
      <t xml:space="preserve">的信元乱序传输。后续与凌云之间的接口，核心网推动更新。
</t>
    </r>
    <r>
      <rPr>
        <sz val="12"/>
        <rFont val="微软雅黑"/>
        <charset val="134"/>
      </rPr>
      <t>2. 扩展了objectType的类型
SF在有实际需求时，可以细分类型对接AF
如果是当前凌云接口的情况下，可以将新增的5，6，7归为水面船只；  8，9都归为其他</t>
    </r>
  </si>
  <si>
    <t>SF接口(20240614).xlsx
1. NS SENSE MEASUREMENT REPORT TLV ObjectGroup增加感知小区ID字段 cellId，可选。TrackPoint中增加beamId、beamId_H、beamId_V、ts、f、phi、theta、sinr、ps、ni、distance、radial_speed、point_type，可选。并重新计算消息总长度。
2. 删除NS SENSE HISTORY UPDATE TLV页面中F、G列。
3. 增加用户面TLV定义。</t>
  </si>
  <si>
    <t>SF接口(20240618).xlsx
1. GtpuInfo结构增加 双栈 v4+v6的表示形式。
2. NS SETUP REQUEST 说明： ran_gtpu_info RAN侧gtpu信息（仅master携带）
3. NS SETUP RESPONSE 说明： sf_gtpu_info，返回的是有效的SF侧gtpu信息（返回SF-U的GTPU）
4. NS CONFIGURATION UPDATE REQUEST 说明：ran_gtpu_info，RAN有变更时，需要携带新的GTPU。如果携带字段，但 内容为空，表示RAN侧释放对应的gtpu。</t>
  </si>
  <si>
    <r>
      <rPr>
        <sz val="12"/>
        <rFont val="微软雅黑"/>
        <charset val="134"/>
      </rPr>
      <t>SF接口(20240823).xlsx
1. 扩展refreshing_rate_list。  NS SETUP和NS CONFIGURATION UPDATE
    list&lt;1..3&gt;  ==》 list&lt;1..</t>
    </r>
    <r>
      <rPr>
        <sz val="12"/>
        <color rgb="FFFF0000"/>
        <rFont val="微软雅黑"/>
        <charset val="134"/>
      </rPr>
      <t>15</t>
    </r>
    <r>
      <rPr>
        <sz val="12"/>
        <rFont val="微软雅黑"/>
        <charset val="134"/>
      </rPr>
      <t>&gt;。
    考虑兼容性，</t>
    </r>
    <r>
      <rPr>
        <sz val="12"/>
        <color rgb="FFFF0000"/>
        <rFont val="微软雅黑"/>
        <charset val="134"/>
      </rPr>
      <t>基站同时携带</t>
    </r>
    <r>
      <rPr>
        <sz val="12"/>
        <rFont val="微软雅黑"/>
        <charset val="134"/>
      </rPr>
      <t xml:space="preserve"> 枚举值，和真实数值。
约定，0,1,2对应原来的枚举且同时带上对应的 200,500,1000。其他数值为真实数值。
如 </t>
    </r>
    <r>
      <rPr>
        <sz val="12"/>
        <color rgb="FFFF0000"/>
        <rFont val="微软雅黑"/>
        <charset val="134"/>
      </rPr>
      <t xml:space="preserve"> [0,200]、[0,1,2,200,500,1000, </t>
    </r>
    <r>
      <rPr>
        <sz val="12"/>
        <color rgb="FF00B0F0"/>
        <rFont val="微软雅黑"/>
        <charset val="134"/>
      </rPr>
      <t>50,100</t>
    </r>
    <r>
      <rPr>
        <sz val="12"/>
        <color rgb="FFFF0000"/>
        <rFont val="微软雅黑"/>
        <charset val="134"/>
      </rPr>
      <t>]</t>
    </r>
    <r>
      <rPr>
        <sz val="12"/>
        <rFont val="微软雅黑"/>
        <charset val="134"/>
      </rPr>
      <t>, 其中</t>
    </r>
    <r>
      <rPr>
        <sz val="12"/>
        <color rgb="FF00B0F0"/>
        <rFont val="微软雅黑"/>
        <charset val="134"/>
      </rPr>
      <t>50,100等</t>
    </r>
    <r>
      <rPr>
        <sz val="12"/>
        <rFont val="微软雅黑"/>
        <charset val="134"/>
      </rPr>
      <t>，为实际数值。
2. SENSING START.refreshing_rate，约定新版本SF 下发按实际数值单位ms，50ms，200ms。</t>
    </r>
    <r>
      <rPr>
        <b/>
        <sz val="12"/>
        <rFont val="微软雅黑"/>
        <charset val="134"/>
      </rPr>
      <t>不用填 枚举0,1,2。</t>
    </r>
  </si>
  <si>
    <t>SF接口(20241028).xlsx
1. 复合类型ObjectGroup定义，增加一个ObjectPrivateInfo类型，可选。作为中兴私有数据通道，ObjectPrivateInfo内容SF可不解析，直接复制给AS解析；
2. 复合类型ObjectPrivateInfo，增加字段objectSize，可选。类型和TagType复用SF-AS中的objectSize；
3. 复合类型ObjectPrivateInfo，增加字段objectTypeExtend，可选。类型与SF-AS中的objectType一致，新增中兴私有TagType 0xF212供AS解析；</t>
  </si>
  <si>
    <t>SF接口(20241031).xlsx  
1028的文档评审后，修订：
1. 复合类型ObjectPrivateInfo，NS和SF，AS三方都解析，SF识别出ObjectPrivateInfo后，整体透传个AS，tagType重新定义为0xF212；
2. 删除类型objectTypeExtend，若发送端识别时私有目标类型，在ObjectPrivateInfo中增加objectType即可；</t>
  </si>
  <si>
    <t>SF接口(20241104).xlsx
1. 复合类型ObjectPrivateInfo增加一个objectTrackPredictionList，上报船只预测轨迹点；按照中移规范，objectTrackPredictionList的value中，前4个字节填充预测轨迹点数；
2. 增加复合类型TrackPredictionPoint定义，为船只预测信息，包括时戳，经纬度（高度不预测默认填0），速度预留；
3. 增加objectTrackPredictionList的tagType；</t>
  </si>
  <si>
    <t>SF接口(20241107).xlsx
1. 新增加NS HEARTBEAT页面，包括Heartbeat Request和Heartbeat Response两条消息。</t>
  </si>
  <si>
    <t>SF接口(20241112).xlsx
1.中兴私有通道ObjectPrivateInfo中的数据类型TLV格式中T和L统一，RAN向AS接口看起；</t>
  </si>
  <si>
    <t>SF接口(20250107).xlsx
1. NS SETUP流程，增加support_feature_list，为识别是否支持 NS CONFIGURATION TRANSFER。
2. SF CONFIGURATION UPDATE流程，增加support_feature，为识别是否支持 NS CONFIGURATION TRANSFER。
3. 增加 UPLINK NS CONFIGURATION TRANSFER 和 DOWNLINK NS CONFIGURATION TRANSFER。
SF只做简单的透传，NS需指定对端gnb地址。流程大概如下：
NS1-&gt;SF-&gt;NS2-&gt;SF-&gt;NS1。可用参考NG UPLINK RAN CONFIGURATION TRANSFER 和 DOWNLINK RAN CONFIGURATION TRANSFER的流程思路。</t>
  </si>
  <si>
    <t>SF接口(20250224).xlsx
1. Light SF增加 SF REST REQUEST 和 SF REST RESPONSE</t>
  </si>
  <si>
    <t>SF接口(20250313).xlsx
1. objectType_toAs增加非机动车类型。</t>
  </si>
  <si>
    <t>IE/Group Name</t>
  </si>
  <si>
    <t>是否携带</t>
  </si>
  <si>
    <t>范围</t>
  </si>
  <si>
    <t>IE type and reference</t>
  </si>
  <si>
    <t>描述</t>
  </si>
  <si>
    <t>Criticality</t>
  </si>
  <si>
    <t>Assigned Criticality</t>
  </si>
  <si>
    <t>示例</t>
  </si>
  <si>
    <t>gid</t>
  </si>
  <si>
    <t>必选</t>
  </si>
  <si>
    <t>YES</t>
  </si>
  <si>
    <t>reject</t>
  </si>
  <si>
    <t>len</t>
  </si>
  <si>
    <t>(22..32)</t>
  </si>
  <si>
    <t>可选</t>
  </si>
  <si>
    <t>RAN teid 0xE0008000 ~ E0002710</t>
  </si>
  <si>
    <t>typ</t>
  </si>
  <si>
    <r>
      <rPr>
        <sz val="11"/>
        <color theme="1"/>
        <rFont val="微软雅黑"/>
        <charset val="134"/>
      </rPr>
      <t xml:space="preserve">0: ipv4
1: ipv6
</t>
    </r>
    <r>
      <rPr>
        <sz val="11"/>
        <color rgb="FFFF0000"/>
        <rFont val="微软雅黑"/>
        <charset val="134"/>
      </rPr>
      <t>2: ipv4+ipv6</t>
    </r>
  </si>
  <si>
    <t>addr</t>
  </si>
  <si>
    <t>ip_type=0或1时，填写对应类型的ip地址；
ip_type=2时，填写ipv4的地址</t>
  </si>
  <si>
    <t>addr2</t>
  </si>
  <si>
    <t>second_ip_address</t>
  </si>
  <si>
    <t>仅在ip_type=2时，填写ipv6的地址</t>
  </si>
  <si>
    <t>p0</t>
  </si>
  <si>
    <t>p1</t>
  </si>
  <si>
    <t>感知AAU位置基准参考点，绝对坐标；采用WGS-84坐标系</t>
  </si>
  <si>
    <t>p2</t>
  </si>
  <si>
    <t>p3</t>
  </si>
  <si>
    <t>p4</t>
  </si>
  <si>
    <t>0：Airspace 低空场景
1：Ocean 海面场景
2:  Aquatic 水域场景</t>
  </si>
  <si>
    <t>感知类型</t>
  </si>
  <si>
    <t>lo</t>
  </si>
  <si>
    <t>la</t>
  </si>
  <si>
    <t>经度（单位：度，精确到7位小数）</t>
  </si>
  <si>
    <t>al</t>
  </si>
  <si>
    <t>纬度（单位：度，精确到7位小数）</t>
  </si>
  <si>
    <t>高度（单位：m），海拔高度，精确到0.01；</t>
  </si>
  <si>
    <t>用网络序发送、接收</t>
  </si>
  <si>
    <t>如："460-01"</t>
  </si>
  <si>
    <t>ran</t>
  </si>
  <si>
    <t>ranGtpu</t>
  </si>
  <si>
    <t>RAN侧gtpu信息（仅master携带）</t>
  </si>
  <si>
    <t>refresh</t>
  </si>
  <si>
    <r>
      <rPr>
        <sz val="11"/>
        <color theme="1"/>
        <rFont val="微软雅黑"/>
        <charset val="134"/>
      </rPr>
      <t>list&lt;1..3&gt;  ==》 list&lt;1..</t>
    </r>
    <r>
      <rPr>
        <sz val="11"/>
        <color rgb="FFFF0000"/>
        <rFont val="微软雅黑"/>
        <charset val="134"/>
      </rPr>
      <t>15</t>
    </r>
    <r>
      <rPr>
        <sz val="11"/>
        <color theme="1"/>
        <rFont val="微软雅黑"/>
        <charset val="134"/>
      </rPr>
      <t xml:space="preserve">&gt;
0: 200
1: 500
2: 1000 
</t>
    </r>
  </si>
  <si>
    <t>刷新间隔能力组合，枚举类型，单位ms。</t>
  </si>
  <si>
    <r>
      <rPr>
        <sz val="11"/>
        <color theme="1"/>
        <rFont val="微软雅黑"/>
        <charset val="134"/>
      </rPr>
      <t xml:space="preserve">同时携带 枚举值，和真实数值。
约定，0,1,2对应原来的枚举且同时带上对应的 200,500,1000。其他数值为真实数值。
如  </t>
    </r>
    <r>
      <rPr>
        <sz val="11"/>
        <color rgb="FFFF0000"/>
        <rFont val="微软雅黑"/>
        <charset val="134"/>
      </rPr>
      <t>[0,200]</t>
    </r>
    <r>
      <rPr>
        <sz val="11"/>
        <color theme="1"/>
        <rFont val="微软雅黑"/>
        <charset val="134"/>
      </rPr>
      <t>、</t>
    </r>
    <r>
      <rPr>
        <sz val="11"/>
        <color rgb="FFFF0000"/>
        <rFont val="微软雅黑"/>
        <charset val="134"/>
      </rPr>
      <t xml:space="preserve">[0,1,2,200,500,1000, </t>
    </r>
    <r>
      <rPr>
        <sz val="11"/>
        <color rgb="FF00B0F0"/>
        <rFont val="微软雅黑"/>
        <charset val="134"/>
      </rPr>
      <t>50,100</t>
    </r>
    <r>
      <rPr>
        <sz val="11"/>
        <color rgb="FFFF0000"/>
        <rFont val="微软雅黑"/>
        <charset val="134"/>
      </rPr>
      <t>], 其中</t>
    </r>
    <r>
      <rPr>
        <sz val="11"/>
        <color rgb="FF00B0F0"/>
        <rFont val="微软雅黑"/>
        <charset val="134"/>
      </rPr>
      <t>50,100</t>
    </r>
    <r>
      <rPr>
        <sz val="11"/>
        <color rgb="FFFF0000"/>
        <rFont val="微软雅黑"/>
        <charset val="134"/>
      </rPr>
      <t>等，为实际数值。</t>
    </r>
  </si>
  <si>
    <t>sense</t>
  </si>
  <si>
    <t xml:space="preserve">list&lt;0..64&gt; </t>
  </si>
  <si>
    <t>sfGtpuInd</t>
  </si>
  <si>
    <t>need_sf_gtpu_info</t>
  </si>
  <si>
    <t>bool</t>
  </si>
  <si>
    <t>指示是否需求核心网侧的gtpu信息</t>
  </si>
  <si>
    <t>support</t>
  </si>
  <si>
    <t>ns_support_feature</t>
  </si>
  <si>
    <t>RAN-SF交互需要识别的能力，如果RAN是支持的，对应bit则需要置位。
按bit位指示支持的特性。约定：
bit0: 是否支持 NS CONFIGURATION TRANSFER</t>
  </si>
  <si>
    <t>0：成功；其他: 失败</t>
  </si>
  <si>
    <t>sfGtpu</t>
  </si>
  <si>
    <t>SF侧gtpu信息（返回SF-U的GTPU）</t>
  </si>
  <si>
    <t>sf_support_feature</t>
  </si>
  <si>
    <t>RAN-SF交互需要识别的能力，如果SF是支持的，对应bit则需要置位。
按bit位指示支持的特性。约定：
bit0: 是否支持 NS CONFIGURATION TRANSFER</t>
  </si>
  <si>
    <t>cap</t>
  </si>
  <si>
    <t>list&lt;0..64&gt;</t>
  </si>
  <si>
    <t>Update时，如果数组为0，代表该ran_node_id下已无感知能力。</t>
  </si>
  <si>
    <t>trp</t>
  </si>
  <si>
    <t>i</t>
  </si>
  <si>
    <t>RAN有变更时，需要携带新的GTPU。如果携带字段，但 内容为空，表示RAN侧释放对应的gtpu。</t>
  </si>
  <si>
    <r>
      <rPr>
        <sz val="11"/>
        <color theme="1"/>
        <rFont val="微软雅黑"/>
        <charset val="134"/>
      </rPr>
      <t>list&lt;1..</t>
    </r>
    <r>
      <rPr>
        <sz val="11"/>
        <color rgb="FFFF0000"/>
        <rFont val="微软雅黑"/>
        <charset val="134"/>
      </rPr>
      <t>15</t>
    </r>
    <r>
      <rPr>
        <sz val="11"/>
        <color theme="1"/>
        <rFont val="微软雅黑"/>
        <charset val="134"/>
      </rPr>
      <t>&gt;
0: 200
1: 500
2: 1000</t>
    </r>
  </si>
  <si>
    <t>刷新间隔能力组合，枚举类型，单位ms。
当前 RAN侧都会携带。</t>
  </si>
  <si>
    <t>全量携带感知信息。如果数组为0，代表该ran_node_id下已无感知能力。</t>
  </si>
  <si>
    <t>SF侧gtpu信息（RAN未携带gtpu时，SF可不携带）</t>
  </si>
  <si>
    <t>如果任务执行中，RAN 更新了的感知能力后，SF要能将新的感知区域进行任务激活。</t>
  </si>
  <si>
    <t>刷新间隔，需求单个目标上报时间间隔，</t>
  </si>
  <si>
    <t>新版SF。按实际数值下发，单位ms，如50ms，200ms。不用填 枚举0,1,2</t>
  </si>
  <si>
    <t>objIdentify</t>
  </si>
  <si>
    <t>ObjectTypeIdentify</t>
  </si>
  <si>
    <t>0：OFF
1：ON</t>
  </si>
  <si>
    <t>控制是否开启目标类型识别功能。若开启，则根据部署场景上报无人机/船只/其他；否则仅上报无人机/船只；</t>
  </si>
  <si>
    <t>start</t>
  </si>
  <si>
    <t>List&lt;1..64&gt;</t>
  </si>
  <si>
    <t>failure</t>
  </si>
  <si>
    <t>List&lt;0..64&gt;</t>
  </si>
  <si>
    <t>RAN以SF最新下发的任务为准。
RAN侧在执行任务中，正常需要SF停止当前任务后，再下发新任务。如果SF直接下发新任务，RAN直接按照新的任务执行。</t>
  </si>
  <si>
    <t>stop</t>
  </si>
  <si>
    <r>
      <rPr>
        <sz val="11"/>
        <color theme="1"/>
        <rFont val="微软雅黑"/>
        <charset val="134"/>
      </rPr>
      <t>NS1 --</t>
    </r>
    <r>
      <rPr>
        <sz val="8"/>
        <color rgb="FFFF0000"/>
        <rFont val="微软雅黑"/>
        <charset val="134"/>
      </rPr>
      <t>UPLINK</t>
    </r>
    <r>
      <rPr>
        <sz val="11"/>
        <rFont val="微软雅黑"/>
        <charset val="134"/>
      </rPr>
      <t>-</t>
    </r>
    <r>
      <rPr>
        <sz val="11"/>
        <color theme="1"/>
        <rFont val="微软雅黑"/>
        <charset val="134"/>
      </rPr>
      <t>&gt; SF --</t>
    </r>
    <r>
      <rPr>
        <sz val="8"/>
        <color rgb="FFFF0000"/>
        <rFont val="微软雅黑"/>
        <charset val="134"/>
      </rPr>
      <t>DOWNLINK</t>
    </r>
    <r>
      <rPr>
        <sz val="11"/>
        <color theme="1"/>
        <rFont val="微软雅黑"/>
        <charset val="134"/>
      </rPr>
      <t>-&gt; NS2</t>
    </r>
  </si>
  <si>
    <t>SF接收NS1的 UPLINK消息，并按 DOWNLINK消息 转发到NS2。</t>
  </si>
  <si>
    <t>UPLINK NS CONFIGURATION TRANSFER</t>
  </si>
  <si>
    <t>tplmn</t>
  </si>
  <si>
    <t>target_plmn</t>
  </si>
  <si>
    <t>NS1 发起的透传流程，填写目标 NS2 的plmn</t>
  </si>
  <si>
    <t>tran</t>
  </si>
  <si>
    <t>target_ng_ran_node_id</t>
  </si>
  <si>
    <t>NS1 发起的透传流程，填写目标 NS2 的ng_ran_node_id</t>
  </si>
  <si>
    <t>splmn</t>
  </si>
  <si>
    <t>source_plmn</t>
  </si>
  <si>
    <t>NS1 发起的透传流程，填写NS1自己的plmn</t>
  </si>
  <si>
    <t>sran</t>
  </si>
  <si>
    <t>source_ng_ran_node_id</t>
  </si>
  <si>
    <t>NS1 发起的透传流程，填写NS1自己的ng_ran_node_id</t>
  </si>
  <si>
    <t>data</t>
  </si>
  <si>
    <t>transfer_data</t>
  </si>
  <si>
    <t>DOWNLINK NS CONFIGURATION TRANSFER</t>
  </si>
  <si>
    <t>SF按 UPLINK 直接赋值。</t>
  </si>
  <si>
    <t>SF REST REQUEST</t>
  </si>
  <si>
    <t>字段空</t>
  </si>
  <si>
    <t>SF REST RESPONSE</t>
  </si>
  <si>
    <t>TLV格式，其中T占2字节，L占2字节且值为后续V的长度，传输时均采用网络序传输</t>
  </si>
  <si>
    <t>类型定义（2字节）</t>
  </si>
  <si>
    <t>透明通道定义NS/SF/AS都需解析</t>
  </si>
  <si>
    <t>lenth</t>
  </si>
  <si>
    <t>透明通道内新增数据类型NS/AS解析</t>
  </si>
  <si>
    <t>tagType</t>
  </si>
  <si>
    <t>lenth:由于中移规范lenth为4字节，基站填给AS的数据L都按照4字节填充，既有类型也复用规范定义</t>
  </si>
  <si>
    <t>新增/复用</t>
  </si>
  <si>
    <t>msgType</t>
  </si>
  <si>
    <t>ObjectPrivateInfo</t>
  </si>
  <si>
    <t>0xF212</t>
  </si>
  <si>
    <t>2字节</t>
  </si>
  <si>
    <t>objectSize</t>
  </si>
  <si>
    <t>0x0131</t>
  </si>
  <si>
    <t>4字节</t>
  </si>
  <si>
    <t>新增</t>
  </si>
  <si>
    <t>objectTrackPredictionList</t>
  </si>
  <si>
    <t>0xF213</t>
  </si>
  <si>
    <t>objectTrackPrediction</t>
  </si>
  <si>
    <t>0xF214</t>
  </si>
  <si>
    <t>ObjectGroup</t>
  </si>
  <si>
    <t>objectType_toAs</t>
  </si>
  <si>
    <t>复用</t>
  </si>
  <si>
    <t>gNBID</t>
  </si>
  <si>
    <t>timestamp_toAs</t>
  </si>
  <si>
    <t>trpID</t>
  </si>
  <si>
    <t>location_toAs</t>
  </si>
  <si>
    <t>speed_toAs</t>
  </si>
  <si>
    <t>Object</t>
  </si>
  <si>
    <t>0x000D</t>
  </si>
  <si>
    <t>0x000E</t>
  </si>
  <si>
    <t>speedX</t>
  </si>
  <si>
    <t>0x000F</t>
  </si>
  <si>
    <t>speedY</t>
  </si>
  <si>
    <t>0x0010</t>
  </si>
  <si>
    <t>speedZ</t>
  </si>
  <si>
    <t>0x0011</t>
  </si>
  <si>
    <t>0x0012</t>
  </si>
  <si>
    <t>0x0013</t>
  </si>
  <si>
    <t>TrackHistory</t>
  </si>
  <si>
    <t>0x0014</t>
  </si>
  <si>
    <t>0x0015</t>
  </si>
  <si>
    <t>gNBIDLen</t>
  </si>
  <si>
    <t>0x0016</t>
  </si>
  <si>
    <t>objectConfidence</t>
  </si>
  <si>
    <t>0x0017</t>
  </si>
  <si>
    <t>cellId</t>
  </si>
  <si>
    <t>0x0018</t>
  </si>
  <si>
    <t>beamId</t>
  </si>
  <si>
    <t>0x0019</t>
  </si>
  <si>
    <t>beamId_H</t>
  </si>
  <si>
    <t>0x001A</t>
  </si>
  <si>
    <t>beamId_V</t>
  </si>
  <si>
    <t>0x001B</t>
  </si>
  <si>
    <t>ts</t>
  </si>
  <si>
    <t>0x001C</t>
  </si>
  <si>
    <t>f</t>
  </si>
  <si>
    <t>0x001D</t>
  </si>
  <si>
    <t>phi</t>
  </si>
  <si>
    <t>0x001E</t>
  </si>
  <si>
    <t>theta</t>
  </si>
  <si>
    <t>0x001F</t>
  </si>
  <si>
    <t>sinr</t>
  </si>
  <si>
    <t>0x0020</t>
  </si>
  <si>
    <t>ps</t>
  </si>
  <si>
    <t>0x0021</t>
  </si>
  <si>
    <t>ni</t>
  </si>
  <si>
    <t>0x0022</t>
  </si>
  <si>
    <t>distance</t>
  </si>
  <si>
    <t>0x0023</t>
  </si>
  <si>
    <t>radial_speed</t>
  </si>
  <si>
    <t>0x0024</t>
  </si>
  <si>
    <t>point_type</t>
  </si>
  <si>
    <t>0x0025</t>
  </si>
  <si>
    <t>NsSenseMeasurementReport</t>
  </si>
  <si>
    <t>占用字节数</t>
  </si>
  <si>
    <t>备注</t>
  </si>
  <si>
    <t>方向：ISAC ===&gt; SF</t>
  </si>
  <si>
    <t>消息长度</t>
  </si>
  <si>
    <t>m为object个数
n为ObjectGroup个数</t>
  </si>
  <si>
    <t>TLV</t>
  </si>
  <si>
    <t>28+72*n+234*m</t>
  </si>
  <si>
    <t>类型</t>
  </si>
  <si>
    <t>可选/必选</t>
  </si>
  <si>
    <t>用于区分数据面消息的类型。
0：NsSenseMeasurementReport
1：NSSenseHistoryUpdate</t>
  </si>
  <si>
    <t>消息编号。发送方对发送的同类消息依次进行编号。编号循环发送。（0~0xFFFFFFFF）</t>
  </si>
  <si>
    <t>上报消息时间。该值表示从UTC时间1970年1月1日0时0分0秒0毫秒。则可表示全年已过去的总毫秒数。（参考Unix时间体系）</t>
  </si>
  <si>
    <r>
      <rPr>
        <sz val="11"/>
        <color rgb="FF1D1D1A"/>
        <rFont val="微软雅黑"/>
        <charset val="134"/>
      </rPr>
      <t>List&lt;</t>
    </r>
    <r>
      <rPr>
        <b/>
        <sz val="11"/>
        <color rgb="FF1D1D1A"/>
        <rFont val="微软雅黑"/>
        <charset val="134"/>
      </rPr>
      <t>ObjectGroup</t>
    </r>
    <r>
      <rPr>
        <sz val="11"/>
        <color rgb="FF1D1D1A"/>
        <rFont val="微软雅黑"/>
        <charset val="134"/>
      </rPr>
      <t>&gt;</t>
    </r>
  </si>
  <si>
    <t>感知目标分组列表，同一个感知目标分组下的感知者相同</t>
  </si>
  <si>
    <t>Size:0~64</t>
  </si>
  <si>
    <t>72*n+234*m</t>
  </si>
  <si>
    <t>消息总长度：28+72*n+234*m</t>
  </si>
  <si>
    <t xml:space="preserve"> </t>
  </si>
  <si>
    <t>复合类型Position定义</t>
  </si>
  <si>
    <t>复合类型ObjectGroup定义</t>
  </si>
  <si>
    <t>基站归属的PLMN</t>
  </si>
  <si>
    <t>"460-081"</t>
  </si>
  <si>
    <t>gNBID长度，取值22-32</t>
  </si>
  <si>
    <t>单小区覆盖时，填写为此基站ID; 多站感知覆盖场景，填写为主要检测基站ID</t>
  </si>
  <si>
    <t>感知小区ID</t>
  </si>
  <si>
    <t>detectorID对应的AAU位置工参绝对坐标；采用WGS-84坐标系。默认不填写。</t>
  </si>
  <si>
    <r>
      <rPr>
        <sz val="11"/>
        <color rgb="FF1D1D1A"/>
        <rFont val="微软雅黑"/>
        <charset val="134"/>
      </rPr>
      <t>List&lt;</t>
    </r>
    <r>
      <rPr>
        <b/>
        <sz val="11"/>
        <color rgb="FF1D1D1A"/>
        <rFont val="微软雅黑"/>
        <charset val="134"/>
      </rPr>
      <t>Object</t>
    </r>
    <r>
      <rPr>
        <sz val="11"/>
        <color rgb="FF1D1D1A"/>
        <rFont val="微软雅黑"/>
        <charset val="134"/>
      </rPr>
      <t>&gt;</t>
    </r>
  </si>
  <si>
    <t>检测到的目标列表</t>
  </si>
  <si>
    <t>234*m</t>
  </si>
  <si>
    <t>复合类型Object定义</t>
  </si>
  <si>
    <t>目标物ID
uuid：Universally Unique Identifier,采用16进制表示，保证全局唯一性，长度128bits</t>
  </si>
  <si>
    <t>a0eebc99-9c0b-4ef8-bb6d-6bb9bd380a11</t>
  </si>
  <si>
    <t>固定长度携带</t>
  </si>
  <si>
    <t>目标类别，由感知任务请求中类型识别功能开关控制是否上报“其他”
当属于中兴私有类型时，NS侧除了在objectType填充，还需要在私有管道objectPrivateInfo中增加填充objectType</t>
  </si>
  <si>
    <t>0：其他
1：低空无人机
2：道路车辆
3：道路行人
4：海面船只
5：大船
6：中船
7：小船
8：鸟
9：气球
255：识别中</t>
  </si>
  <si>
    <t>目标类别的置信概率，范围：（0 ~ 1）</t>
  </si>
  <si>
    <t>感知目标物timestamp时刻的绝对坐标以及速度等信息，WGS-84坐标系 </t>
  </si>
  <si>
    <t>objectPrivateInfo</t>
  </si>
  <si>
    <t>目标物zte私有信息，内容sf可不解析，把objectPrivateInfo整体透传给自研AS</t>
  </si>
  <si>
    <t>可变长</t>
  </si>
  <si>
    <t>复合类型TrackPoint定义</t>
  </si>
  <si>
    <t>UTC时间，毫秒级。</t>
  </si>
  <si>
    <t>目标物轨迹点的绝对坐标，WGS-84坐标系</t>
  </si>
  <si>
    <t>绝对速度（单位km/h）</t>
  </si>
  <si>
    <t>X轴方向速度，大地为参考基准，正北</t>
  </si>
  <si>
    <t>Y轴方向速度，大地为参考基准，正东</t>
  </si>
  <si>
    <t xml:space="preserve">Z轴方向速度，大地为参考基准，垂直于大地 </t>
  </si>
  <si>
    <t>高频波束ID</t>
  </si>
  <si>
    <t>低频目标tx水平波束ID</t>
  </si>
  <si>
    <t>低频目标tx垂直波束ID</t>
  </si>
  <si>
    <t>float</t>
  </si>
  <si>
    <t>目标Ts</t>
  </si>
  <si>
    <t>多普勒频偏</t>
  </si>
  <si>
    <t>水平角度(单位:度)</t>
  </si>
  <si>
    <t>垂直角度(单位:度)</t>
  </si>
  <si>
    <t>目标SINR(单位:dB)</t>
  </si>
  <si>
    <t>目标PS(单位:dBm)</t>
  </si>
  <si>
    <t>目标点ni(单位:dBm)</t>
  </si>
  <si>
    <t>径向距离(单位:m)</t>
  </si>
  <si>
    <t>径向速度</t>
  </si>
  <si>
    <t>点类型</t>
  </si>
  <si>
    <t>0：实测点
1：初始构建点
2：预测点</t>
  </si>
  <si>
    <t>复合类型ObjectPrivateInfo定义</t>
  </si>
  <si>
    <t>ObjectSize</t>
  </si>
  <si>
    <t>目标物尺寸</t>
  </si>
  <si>
    <t>unint8</t>
  </si>
  <si>
    <t>目标物类型，目标类型为中兴私有时，ES填充同objectType值，供AS读取</t>
  </si>
  <si>
    <t>中兴私有类型：
101：航标
102：非机动车</t>
  </si>
  <si>
    <t>objectTrackPredictionNum</t>
  </si>
  <si>
    <t xml:space="preserve">uint32 </t>
  </si>
  <si>
    <t>感知目标物预测轨迹点数目。
该字段仅对目标类型objectType为水面船只时有效。
根据终于规范，  数组的num不通过tlv传输，而是在objectTrackPredictionList的V中体现</t>
  </si>
  <si>
    <t>List&lt;TrackPredictionPoint&gt;</t>
  </si>
  <si>
    <t>感知目标物预测轨迹点列表。
该字段仅对目标类型objectType为水面船只时有效。
V的填充格式为 ：uint32的“感知目标物预测轨迹点数目"+预测轨迹数据。</t>
  </si>
  <si>
    <t>复合类型TrackPredictionPoint定义</t>
  </si>
  <si>
    <t>UTC时间，毫秒级。表示预测轨迹点的时刻</t>
  </si>
  <si>
    <t>目标物预测轨迹点的绝对坐标，WGS-84坐标系</t>
  </si>
  <si>
    <t>预测的绝对速度（单位km/h）</t>
  </si>
  <si>
    <t>复合类型ObjectSize定义</t>
  </si>
  <si>
    <t>length</t>
  </si>
  <si>
    <t>uint16</t>
  </si>
  <si>
    <t>目标物长度(单位:米)</t>
  </si>
  <si>
    <t>width</t>
  </si>
  <si>
    <t>目标物宽度(单位:米)</t>
  </si>
  <si>
    <t>height</t>
  </si>
  <si>
    <t>目标物高度(单位:米)</t>
  </si>
  <si>
    <t>NSSenseHistoryUpdate  RAN根据计算及处理，通知SF更新历史轨迹</t>
  </si>
  <si>
    <t>方向：ISAC  ===&gt; SF</t>
  </si>
  <si>
    <t>i为TrackPoint个数
j为TrackHistory个数
k为TrackHistoryGroup个数</t>
  </si>
  <si>
    <t>28+53*k+29*j+92*i</t>
  </si>
  <si>
    <t>定义消息编号。发送方对发送的同类消息依次进行编号。编号循环发送。（0~0xFFFFFFFF）</t>
  </si>
  <si>
    <t>感知到目标的时间。该值表示从UTC时间1970年1月1日0时0分0秒0毫秒。则可表示全年已过去的总毫秒数。（参考Unix时间体系）</t>
  </si>
  <si>
    <r>
      <rPr>
        <sz val="11"/>
        <color rgb="FF1D1D1A"/>
        <rFont val="微软雅黑"/>
        <charset val="134"/>
      </rPr>
      <t>List&lt;</t>
    </r>
    <r>
      <rPr>
        <b/>
        <sz val="11"/>
        <color rgb="FF1D1D1A"/>
        <rFont val="微软雅黑"/>
        <charset val="134"/>
      </rPr>
      <t>TrackHistoryGroup</t>
    </r>
    <r>
      <rPr>
        <sz val="11"/>
        <color rgb="FF1D1D1A"/>
        <rFont val="微软雅黑"/>
        <charset val="134"/>
      </rPr>
      <t>&gt;</t>
    </r>
  </si>
  <si>
    <r>
      <rPr>
        <sz val="11"/>
        <color rgb="FF008ED3"/>
        <rFont val="微软雅黑"/>
        <charset val="134"/>
      </rPr>
      <t>历史轨迹分组列表。</t>
    </r>
    <r>
      <rPr>
        <sz val="11"/>
        <color rgb="FF1D1D1A"/>
        <rFont val="微软雅黑"/>
        <charset val="134"/>
      </rPr>
      <t>同一个</t>
    </r>
    <r>
      <rPr>
        <sz val="11"/>
        <color rgb="FF008ED3"/>
        <rFont val="微软雅黑"/>
        <charset val="134"/>
      </rPr>
      <t>历史轨迹分组</t>
    </r>
    <r>
      <rPr>
        <sz val="11"/>
        <color rgb="FF1D1D1A"/>
        <rFont val="微软雅黑"/>
        <charset val="134"/>
      </rPr>
      <t>下的感知者相同</t>
    </r>
  </si>
  <si>
    <t>复合类型TrackHistoryGroup定义</t>
  </si>
  <si>
    <t>"460-08"</t>
  </si>
  <si>
    <t>单小区覆盖时，填写为此基站小区ID; 多站感知覆盖场景，填写为主要检测基站小区ID</t>
  </si>
  <si>
    <t xml:space="preserve"> 历史轨迹更新类型</t>
  </si>
  <si>
    <t>0：修正历史轨迹 1：新增历史轨迹</t>
  </si>
  <si>
    <r>
      <rPr>
        <sz val="11"/>
        <color rgb="FF1D1D1A"/>
        <rFont val="微软雅黑"/>
        <charset val="134"/>
      </rPr>
      <t>List&lt;</t>
    </r>
    <r>
      <rPr>
        <b/>
        <sz val="11"/>
        <color rgb="FF1D1D1A"/>
        <rFont val="微软雅黑"/>
        <charset val="134"/>
      </rPr>
      <t>TrackHistory</t>
    </r>
    <r>
      <rPr>
        <sz val="11"/>
        <color rgb="FF1D1D1A"/>
        <rFont val="微软雅黑"/>
        <charset val="134"/>
      </rPr>
      <t>&gt;</t>
    </r>
  </si>
  <si>
    <t>需要更新历史轨迹的目标列表</t>
  </si>
  <si>
    <t>复合类型TrackHistory定义</t>
  </si>
  <si>
    <t xml:space="preserve">目标物ID uuid：Universally Unique Identifier,采用16进制表示，保证全局唯一性，长度128bits
</t>
  </si>
  <si>
    <t>目标类别，由感知任务请求中类型识别功能开关控制是否上报“其他”</t>
  </si>
  <si>
    <t xml:space="preserve">0：其他
1：低空无人机
2：道路车辆
3：道路行人
4：海面船只
255：识别中
</t>
  </si>
  <si>
    <r>
      <rPr>
        <sz val="11"/>
        <rFont val="微软雅黑"/>
        <charset val="134"/>
      </rPr>
      <t>List&lt;</t>
    </r>
    <r>
      <rPr>
        <b/>
        <sz val="11"/>
        <rFont val="微软雅黑"/>
        <charset val="134"/>
      </rPr>
      <t>TrackPoint</t>
    </r>
    <r>
      <rPr>
        <sz val="11"/>
        <rFont val="微软雅黑"/>
        <charset val="134"/>
      </rPr>
      <t>&gt;</t>
    </r>
  </si>
  <si>
    <t>目标的历史轨迹修正或新增</t>
  </si>
  <si>
    <t>Heartbeat Request</t>
  </si>
  <si>
    <t>Heartbeat Response</t>
  </si>
  <si>
    <t>方向：ISAC &lt;===&gt; SF</t>
  </si>
  <si>
    <t>增加如下两个消息：
2：Heartbeat Request
3：Heartbeat Response</t>
  </si>
  <si>
    <t>当前的系统时间</t>
  </si>
  <si>
    <t>填写为0</t>
  </si>
  <si>
    <t>Size:0</t>
  </si>
  <si>
    <t>cnt</t>
  </si>
  <si>
    <t>time</t>
  </si>
  <si>
    <t>objs</t>
  </si>
  <si>
    <t>id</t>
  </si>
  <si>
    <t>单小区覆盖时，填写为此基站小区ID; 多站感知覆盖场景，填写为主要检测基站小区ID，采用gNBID-CellID的方式表示；
gNBID类型为uint32 取值0~4294967295，CellID类型为uint32 取值0~4294967295
最大长度21</t>
  </si>
  <si>
    <t>“123342-11234”
Master BBU gnbID</t>
  </si>
  <si>
    <t>pos</t>
  </si>
  <si>
    <t> 可选</t>
  </si>
  <si>
    <t>obj</t>
  </si>
  <si>
    <t>0：其他
1：低空无人机
2：道路车辆
3：道路行人
4：海面船只
255：识别中</t>
  </si>
  <si>
    <t>pt</t>
  </si>
  <si>
    <t>loc</t>
  </si>
  <si>
    <t>spd</t>
  </si>
  <si>
    <t>速度（单位km/h）</t>
  </si>
  <si>
    <t>x</t>
  </si>
  <si>
    <t>y</t>
  </si>
  <si>
    <t>z</t>
  </si>
  <si>
    <t>hist</t>
  </si>
  <si>
    <t>单小区覆盖时，填写为此基站小区ID; 多站感知覆盖场景，填写为主要检测基站小区ID，采用gNBID-CellID的方式表示；
gNBID类型为uint32取值0~4294967295，
CellID类型为uint32取值0~4294967295</t>
  </si>
  <si>
    <t>123342-11234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</si>
</sst>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1"/>
      <color rgb="FF1D1D1A"/>
      <name val="微软雅黑"/>
      <charset val="134"/>
    </font>
    <font>
      <b/>
      <sz val="11"/>
      <color theme="1"/>
      <name val="微软雅黑"/>
      <charset val="134"/>
    </font>
    <font>
      <sz val="11"/>
      <color rgb="FF1D1D1A"/>
      <name val="微软雅黑"/>
      <charset val="134"/>
    </font>
    <font>
      <sz val="11"/>
      <color rgb="FF008ED3"/>
      <name val="微软雅黑"/>
      <charset val="134"/>
    </font>
    <font>
      <sz val="14"/>
      <color rgb="FFFF0000"/>
      <name val="微软雅黑"/>
      <charset val="134"/>
    </font>
    <font>
      <sz val="11"/>
      <color rgb="FFFF0000"/>
      <name val="微软雅黑"/>
      <charset val="134"/>
    </font>
    <font>
      <sz val="8"/>
      <color rgb="FF1D1D1A"/>
      <name val="微软雅黑"/>
      <charset val="134"/>
    </font>
    <font>
      <b/>
      <sz val="11"/>
      <name val="微软雅黑"/>
      <charset val="134"/>
    </font>
    <font>
      <sz val="12"/>
      <name val="宋体"/>
      <charset val="134"/>
    </font>
    <font>
      <sz val="11"/>
      <name val="宋体"/>
      <charset val="134"/>
    </font>
    <font>
      <b/>
      <sz val="11"/>
      <color rgb="FFFF0000"/>
      <name val="微软雅黑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10"/>
      <color rgb="FFFF0000"/>
      <name val="微软雅黑"/>
      <charset val="134"/>
    </font>
    <font>
      <sz val="9"/>
      <color rgb="FFFF0000"/>
      <name val="微软雅黑"/>
      <charset val="134"/>
    </font>
    <font>
      <sz val="12"/>
      <name val="微软雅黑"/>
      <charset val="134"/>
    </font>
    <font>
      <b/>
      <sz val="8"/>
      <color rgb="FF1D1D1A"/>
      <name val="微软雅黑"/>
      <charset val="134"/>
    </font>
    <font>
      <sz val="12"/>
      <color theme="0"/>
      <name val="微软雅黑"/>
      <charset val="134"/>
    </font>
    <font>
      <sz val="12"/>
      <color theme="7" tint="0.399884029663991"/>
      <name val="微软雅黑"/>
      <charset val="134"/>
    </font>
    <font>
      <sz val="8"/>
      <color theme="1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8"/>
      <color rgb="FFFF0000"/>
      <name val="微软雅黑"/>
      <charset val="134"/>
    </font>
    <font>
      <sz val="11"/>
      <color rgb="FF00B0F0"/>
      <name val="微软雅黑"/>
      <charset val="134"/>
    </font>
    <font>
      <sz val="12"/>
      <color rgb="FFFF0000"/>
      <name val="微软雅黑"/>
      <charset val="134"/>
    </font>
    <font>
      <sz val="12"/>
      <color rgb="FF00B0F0"/>
      <name val="微软雅黑"/>
      <charset val="134"/>
    </font>
    <font>
      <b/>
      <sz val="12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rgb="FF1D1D1A"/>
      </left>
      <right style="medium">
        <color rgb="FF1D1D1A"/>
      </right>
      <top style="medium">
        <color rgb="FF1D1D1A"/>
      </top>
      <bottom style="medium">
        <color rgb="FF1D1D1A"/>
      </bottom>
      <diagonal/>
    </border>
    <border>
      <left/>
      <right style="medium">
        <color rgb="FF1D1D1A"/>
      </right>
      <top style="medium">
        <color rgb="FF1D1D1A"/>
      </top>
      <bottom style="medium">
        <color rgb="FF1D1D1A"/>
      </bottom>
      <diagonal/>
    </border>
    <border>
      <left style="medium">
        <color rgb="FF1D1D1A"/>
      </left>
      <right style="medium">
        <color rgb="FF1D1D1A"/>
      </right>
      <top/>
      <bottom style="medium">
        <color rgb="FF1D1D1A"/>
      </bottom>
      <diagonal/>
    </border>
    <border>
      <left/>
      <right style="medium">
        <color rgb="FF1D1D1A"/>
      </right>
      <top/>
      <bottom style="medium">
        <color rgb="FF1D1D1A"/>
      </bottom>
      <diagonal/>
    </border>
    <border>
      <left/>
      <right/>
      <top/>
      <bottom style="medium">
        <color rgb="FF1D1D1A"/>
      </bottom>
      <diagonal/>
    </border>
    <border>
      <left style="medium">
        <color rgb="FF1D1D1A"/>
      </left>
      <right style="medium">
        <color rgb="FF1D1D1A"/>
      </right>
      <top style="medium">
        <color rgb="FF1D1D1A"/>
      </top>
      <bottom/>
      <diagonal/>
    </border>
    <border>
      <left/>
      <right style="medium">
        <color rgb="FF1D1D1A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1D1D1A"/>
      </left>
      <right style="medium">
        <color rgb="FF1D1D1A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6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10" borderId="16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35" fillId="14" borderId="19" applyNumberFormat="0" applyAlignment="0" applyProtection="0">
      <alignment vertical="center"/>
    </xf>
    <xf numFmtId="0" fontId="36" fillId="14" borderId="15" applyNumberFormat="0" applyAlignment="0" applyProtection="0">
      <alignment vertical="center"/>
    </xf>
    <xf numFmtId="0" fontId="37" fillId="15" borderId="20" applyNumberFormat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48">
    <xf numFmtId="0" fontId="0" fillId="0" borderId="0" xfId="0">
      <alignment vertical="center"/>
    </xf>
    <xf numFmtId="0" fontId="1" fillId="0" borderId="0" xfId="49" applyFont="1" applyAlignment="1"/>
    <xf numFmtId="0" fontId="2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3" fillId="3" borderId="1" xfId="0" applyFont="1" applyFill="1" applyBorder="1" applyAlignment="1">
      <alignment horizontal="justify" vertical="center" wrapText="1"/>
    </xf>
    <xf numFmtId="0" fontId="3" fillId="3" borderId="2" xfId="0" applyFont="1" applyFill="1" applyBorder="1" applyAlignment="1">
      <alignment horizontal="justify" vertical="center" wrapText="1"/>
    </xf>
    <xf numFmtId="0" fontId="4" fillId="3" borderId="2" xfId="0" applyFont="1" applyFill="1" applyBorder="1" applyAlignment="1">
      <alignment horizontal="justify" vertical="center" wrapText="1"/>
    </xf>
    <xf numFmtId="0" fontId="1" fillId="0" borderId="0" xfId="49" applyFont="1" applyAlignment="1">
      <alignment vertical="center"/>
    </xf>
    <xf numFmtId="0" fontId="5" fillId="0" borderId="3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justify" vertical="center" wrapText="1"/>
    </xf>
    <xf numFmtId="0" fontId="6" fillId="0" borderId="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7" fillId="4" borderId="0" xfId="0" applyFont="1" applyFill="1">
      <alignment vertical="center"/>
    </xf>
    <xf numFmtId="0" fontId="8" fillId="4" borderId="0" xfId="0" applyFont="1" applyFill="1">
      <alignment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justify" vertical="center" wrapText="1"/>
    </xf>
    <xf numFmtId="0" fontId="5" fillId="0" borderId="11" xfId="0" applyFont="1" applyBorder="1" applyAlignment="1">
      <alignment horizontal="justify" vertical="center" wrapText="1"/>
    </xf>
    <xf numFmtId="0" fontId="5" fillId="0" borderId="1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justify" vertical="center" wrapText="1"/>
    </xf>
    <xf numFmtId="0" fontId="5" fillId="0" borderId="7" xfId="0" applyFont="1" applyBorder="1" applyAlignment="1">
      <alignment horizontal="justify" vertical="center" wrapText="1"/>
    </xf>
    <xf numFmtId="0" fontId="5" fillId="0" borderId="12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1" fillId="0" borderId="0" xfId="0" applyFont="1" applyFill="1" applyAlignment="1"/>
    <xf numFmtId="0" fontId="2" fillId="0" borderId="0" xfId="49" applyFont="1" applyFill="1" applyAlignment="1">
      <alignment vertical="center"/>
    </xf>
    <xf numFmtId="0" fontId="2" fillId="0" borderId="0" xfId="49" applyFont="1" applyFill="1" applyAlignment="1">
      <alignment horizontal="center" vertical="center"/>
    </xf>
    <xf numFmtId="0" fontId="7" fillId="4" borderId="0" xfId="49" applyFont="1" applyFill="1" applyAlignment="1">
      <alignment vertical="center"/>
    </xf>
    <xf numFmtId="0" fontId="8" fillId="4" borderId="0" xfId="49" applyFont="1" applyFill="1" applyAlignment="1">
      <alignment vertical="center"/>
    </xf>
    <xf numFmtId="0" fontId="2" fillId="0" borderId="0" xfId="49" applyFont="1" applyFill="1" applyAlignment="1">
      <alignment horizontal="left" vertical="center"/>
    </xf>
    <xf numFmtId="0" fontId="3" fillId="3" borderId="8" xfId="49" applyFont="1" applyFill="1" applyBorder="1" applyAlignment="1">
      <alignment horizontal="center" vertical="center" wrapText="1"/>
    </xf>
    <xf numFmtId="0" fontId="3" fillId="3" borderId="9" xfId="49" applyFont="1" applyFill="1" applyBorder="1" applyAlignment="1">
      <alignment horizontal="center" vertical="center" wrapText="1"/>
    </xf>
    <xf numFmtId="0" fontId="5" fillId="0" borderId="10" xfId="49" applyFont="1" applyFill="1" applyBorder="1" applyAlignment="1">
      <alignment horizontal="justify" vertical="center" wrapText="1"/>
    </xf>
    <xf numFmtId="0" fontId="5" fillId="0" borderId="11" xfId="49" applyFont="1" applyFill="1" applyBorder="1" applyAlignment="1">
      <alignment horizontal="justify" vertical="center" wrapText="1"/>
    </xf>
    <xf numFmtId="0" fontId="5" fillId="0" borderId="11" xfId="49" applyFont="1" applyFill="1" applyBorder="1" applyAlignment="1">
      <alignment horizontal="center" vertical="center" wrapText="1"/>
    </xf>
    <xf numFmtId="0" fontId="5" fillId="0" borderId="11" xfId="49" applyFont="1" applyFill="1" applyBorder="1" applyAlignment="1">
      <alignment horizontal="left" vertical="center" wrapText="1"/>
    </xf>
    <xf numFmtId="0" fontId="1" fillId="0" borderId="11" xfId="49" applyFont="1" applyFill="1" applyBorder="1" applyAlignment="1">
      <alignment horizontal="left" vertical="center" wrapText="1"/>
    </xf>
    <xf numFmtId="0" fontId="2" fillId="0" borderId="0" xfId="49" applyFont="1" applyFill="1" applyAlignment="1">
      <alignment horizontal="justify" vertical="center"/>
    </xf>
    <xf numFmtId="0" fontId="5" fillId="0" borderId="0" xfId="49" applyFont="1" applyFill="1" applyAlignment="1">
      <alignment horizontal="justify" vertical="center" wrapText="1"/>
    </xf>
    <xf numFmtId="0" fontId="5" fillId="0" borderId="0" xfId="49" applyFont="1" applyFill="1" applyAlignment="1">
      <alignment horizontal="center" vertical="center" wrapText="1"/>
    </xf>
    <xf numFmtId="0" fontId="1" fillId="0" borderId="0" xfId="49" applyFont="1" applyFill="1" applyAlignment="1"/>
    <xf numFmtId="0" fontId="2" fillId="2" borderId="0" xfId="49" applyFont="1" applyFill="1" applyAlignment="1">
      <alignment horizontal="center" vertical="center"/>
    </xf>
    <xf numFmtId="0" fontId="4" fillId="0" borderId="0" xfId="49" applyFont="1" applyFill="1" applyAlignment="1">
      <alignment horizontal="left" vertical="center"/>
    </xf>
    <xf numFmtId="0" fontId="4" fillId="0" borderId="0" xfId="49" applyFont="1" applyFill="1" applyAlignment="1">
      <alignment horizontal="left" vertical="center" wrapText="1"/>
    </xf>
    <xf numFmtId="0" fontId="4" fillId="0" borderId="0" xfId="49" applyFont="1" applyFill="1" applyAlignment="1">
      <alignment vertical="center"/>
    </xf>
    <xf numFmtId="0" fontId="3" fillId="3" borderId="1" xfId="49" applyFont="1" applyFill="1" applyBorder="1" applyAlignment="1">
      <alignment horizontal="justify" vertical="center" wrapText="1"/>
    </xf>
    <xf numFmtId="0" fontId="3" fillId="3" borderId="2" xfId="49" applyFont="1" applyFill="1" applyBorder="1" applyAlignment="1">
      <alignment horizontal="justify" vertical="center" wrapText="1"/>
    </xf>
    <xf numFmtId="0" fontId="5" fillId="0" borderId="3" xfId="49" applyFont="1" applyFill="1" applyBorder="1" applyAlignment="1">
      <alignment horizontal="justify" vertical="center" wrapText="1"/>
    </xf>
    <xf numFmtId="0" fontId="5" fillId="0" borderId="4" xfId="49" applyFont="1" applyFill="1" applyBorder="1" applyAlignment="1">
      <alignment horizontal="justify" vertical="center" wrapText="1"/>
    </xf>
    <xf numFmtId="0" fontId="6" fillId="0" borderId="4" xfId="49" applyFont="1" applyFill="1" applyBorder="1" applyAlignment="1">
      <alignment horizontal="justify" vertical="center" wrapText="1"/>
    </xf>
    <xf numFmtId="0" fontId="6" fillId="0" borderId="4" xfId="49" applyFont="1" applyFill="1" applyBorder="1" applyAlignment="1">
      <alignment horizontal="left" vertical="center" wrapText="1"/>
    </xf>
    <xf numFmtId="0" fontId="5" fillId="0" borderId="0" xfId="49" applyFont="1" applyFill="1" applyBorder="1" applyAlignment="1">
      <alignment horizontal="justify" vertical="center" wrapText="1"/>
    </xf>
    <xf numFmtId="0" fontId="6" fillId="0" borderId="0" xfId="49" applyFont="1" applyFill="1" applyBorder="1" applyAlignment="1">
      <alignment horizontal="left" vertical="center" wrapText="1"/>
    </xf>
    <xf numFmtId="0" fontId="4" fillId="0" borderId="0" xfId="49" applyFont="1" applyFill="1" applyAlignment="1">
      <alignment horizontal="center" vertical="center"/>
    </xf>
    <xf numFmtId="0" fontId="4" fillId="0" borderId="0" xfId="49" applyFont="1" applyFill="1" applyAlignment="1">
      <alignment horizontal="center" vertical="center" wrapText="1"/>
    </xf>
    <xf numFmtId="0" fontId="2" fillId="0" borderId="5" xfId="49" applyFont="1" applyFill="1" applyBorder="1" applyAlignment="1">
      <alignment horizontal="center" vertical="center"/>
    </xf>
    <xf numFmtId="0" fontId="3" fillId="3" borderId="1" xfId="49" applyFont="1" applyFill="1" applyBorder="1" applyAlignment="1">
      <alignment horizontal="center" vertical="center" wrapText="1"/>
    </xf>
    <xf numFmtId="0" fontId="3" fillId="3" borderId="2" xfId="49" applyFont="1" applyFill="1" applyBorder="1" applyAlignment="1">
      <alignment horizontal="center" vertical="center" wrapText="1"/>
    </xf>
    <xf numFmtId="0" fontId="1" fillId="0" borderId="4" xfId="49" applyFont="1" applyFill="1" applyBorder="1" applyAlignment="1">
      <alignment horizontal="justify" vertical="center" wrapText="1"/>
    </xf>
    <xf numFmtId="0" fontId="2" fillId="0" borderId="0" xfId="49" applyNumberFormat="1" applyFont="1" applyFill="1" applyAlignment="1">
      <alignment horizontal="center" vertical="center"/>
    </xf>
    <xf numFmtId="0" fontId="1" fillId="0" borderId="3" xfId="49" applyFont="1" applyFill="1" applyBorder="1" applyAlignment="1">
      <alignment horizontal="justify" vertical="center" wrapText="1"/>
    </xf>
    <xf numFmtId="49" fontId="2" fillId="0" borderId="0" xfId="49" applyNumberFormat="1" applyFont="1" applyFill="1" applyAlignment="1">
      <alignment horizontal="center" vertical="center"/>
    </xf>
    <xf numFmtId="0" fontId="0" fillId="0" borderId="0" xfId="0" applyFill="1">
      <alignment vertical="center"/>
    </xf>
    <xf numFmtId="0" fontId="9" fillId="0" borderId="0" xfId="49" applyFont="1" applyFill="1" applyBorder="1" applyAlignment="1">
      <alignment horizontal="justify" vertical="center" wrapText="1"/>
    </xf>
    <xf numFmtId="0" fontId="5" fillId="0" borderId="4" xfId="49" applyFont="1" applyFill="1" applyBorder="1" applyAlignment="1">
      <alignment horizontal="left" vertical="center" wrapText="1"/>
    </xf>
    <xf numFmtId="0" fontId="5" fillId="0" borderId="12" xfId="49" applyFont="1" applyFill="1" applyBorder="1" applyAlignment="1">
      <alignment horizontal="justify" vertical="center" wrapText="1"/>
    </xf>
    <xf numFmtId="0" fontId="5" fillId="0" borderId="7" xfId="49" applyFont="1" applyFill="1" applyBorder="1" applyAlignment="1">
      <alignment horizontal="justify" vertical="center" wrapText="1"/>
    </xf>
    <xf numFmtId="0" fontId="5" fillId="0" borderId="13" xfId="49" applyFont="1" applyFill="1" applyBorder="1" applyAlignment="1">
      <alignment horizontal="center" vertical="center" wrapText="1"/>
    </xf>
    <xf numFmtId="0" fontId="5" fillId="0" borderId="14" xfId="49" applyFont="1" applyFill="1" applyBorder="1" applyAlignment="1">
      <alignment horizontal="justify" vertical="center" wrapText="1"/>
    </xf>
    <xf numFmtId="0" fontId="5" fillId="0" borderId="14" xfId="49" applyFont="1" applyFill="1" applyBorder="1" applyAlignment="1">
      <alignment horizontal="center" vertical="center" wrapText="1"/>
    </xf>
    <xf numFmtId="0" fontId="8" fillId="0" borderId="14" xfId="49" applyFont="1" applyFill="1" applyBorder="1" applyAlignment="1">
      <alignment horizontal="justify" vertical="center" wrapText="1"/>
    </xf>
    <xf numFmtId="0" fontId="8" fillId="0" borderId="14" xfId="49" applyFont="1" applyFill="1" applyBorder="1" applyAlignment="1">
      <alignment horizontal="center" vertical="center" wrapText="1"/>
    </xf>
    <xf numFmtId="0" fontId="8" fillId="0" borderId="0" xfId="49" applyFont="1" applyFill="1" applyAlignment="1">
      <alignment horizontal="center" vertical="center"/>
    </xf>
    <xf numFmtId="0" fontId="5" fillId="0" borderId="3" xfId="49" applyFont="1" applyFill="1" applyBorder="1" applyAlignment="1">
      <alignment horizontal="left" vertical="center" wrapText="1"/>
    </xf>
    <xf numFmtId="0" fontId="3" fillId="0" borderId="4" xfId="49" applyFont="1" applyFill="1" applyBorder="1" applyAlignment="1">
      <alignment horizontal="left" vertical="center" wrapText="1"/>
    </xf>
    <xf numFmtId="0" fontId="1" fillId="0" borderId="0" xfId="49" applyFont="1" applyFill="1" applyAlignment="1">
      <alignment horizontal="justify" vertical="center" wrapText="1"/>
    </xf>
    <xf numFmtId="0" fontId="1" fillId="0" borderId="0" xfId="49" applyFont="1" applyFill="1" applyAlignment="1">
      <alignment horizontal="center" vertical="center" wrapText="1"/>
    </xf>
    <xf numFmtId="0" fontId="10" fillId="3" borderId="14" xfId="49" applyFont="1" applyFill="1" applyBorder="1" applyAlignment="1">
      <alignment horizontal="center" vertical="center" wrapText="1"/>
    </xf>
    <xf numFmtId="0" fontId="1" fillId="0" borderId="14" xfId="49" applyFont="1" applyFill="1" applyBorder="1" applyAlignment="1">
      <alignment horizontal="justify" vertical="center" wrapText="1"/>
    </xf>
    <xf numFmtId="0" fontId="1" fillId="0" borderId="14" xfId="49" applyFont="1" applyFill="1" applyBorder="1" applyAlignment="1">
      <alignment horizontal="center" vertical="center" wrapText="1"/>
    </xf>
    <xf numFmtId="0" fontId="10" fillId="3" borderId="1" xfId="49" applyFont="1" applyFill="1" applyBorder="1" applyAlignment="1">
      <alignment horizontal="center" vertical="center" wrapText="1"/>
    </xf>
    <xf numFmtId="0" fontId="10" fillId="3" borderId="2" xfId="49" applyFont="1" applyFill="1" applyBorder="1" applyAlignment="1">
      <alignment horizontal="center" vertical="center" wrapText="1"/>
    </xf>
    <xf numFmtId="0" fontId="10" fillId="3" borderId="9" xfId="49" applyFont="1" applyFill="1" applyBorder="1" applyAlignment="1">
      <alignment horizontal="center" vertical="center" wrapText="1"/>
    </xf>
    <xf numFmtId="0" fontId="1" fillId="0" borderId="0" xfId="49" applyFont="1" applyFill="1" applyAlignment="1">
      <alignment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1" xfId="49" applyFont="1" applyFill="1" applyBorder="1" applyAlignment="1">
      <alignment horizontal="center" vertical="center" wrapText="1"/>
    </xf>
    <xf numFmtId="0" fontId="11" fillId="0" borderId="0" xfId="49" applyAlignment="1"/>
    <xf numFmtId="0" fontId="1" fillId="0" borderId="0" xfId="49" applyFont="1" applyAlignment="1">
      <alignment horizontal="left" vertical="center"/>
    </xf>
    <xf numFmtId="0" fontId="8" fillId="0" borderId="0" xfId="49" applyFont="1" applyAlignment="1">
      <alignment horizontal="left" vertical="center" wrapText="1"/>
    </xf>
    <xf numFmtId="0" fontId="1" fillId="0" borderId="0" xfId="0" applyFont="1" applyBorder="1" applyAlignment="1">
      <alignment horizontal="justify" vertical="center" wrapText="1"/>
    </xf>
    <xf numFmtId="0" fontId="8" fillId="0" borderId="0" xfId="49" applyFont="1" applyAlignment="1"/>
    <xf numFmtId="0" fontId="12" fillId="0" borderId="0" xfId="49" applyFont="1" applyAlignment="1"/>
    <xf numFmtId="0" fontId="8" fillId="0" borderId="0" xfId="49" applyFont="1" applyFill="1" applyAlignment="1">
      <alignment vertical="center"/>
    </xf>
    <xf numFmtId="0" fontId="13" fillId="4" borderId="0" xfId="0" applyFont="1" applyFill="1">
      <alignment vertical="center"/>
    </xf>
    <xf numFmtId="0" fontId="1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16" fillId="4" borderId="0" xfId="0" applyFont="1" applyFill="1">
      <alignment vertical="center"/>
    </xf>
    <xf numFmtId="0" fontId="2" fillId="0" borderId="0" xfId="0" applyFont="1" applyAlignment="1">
      <alignment horizontal="left" vertical="center" wrapText="1"/>
    </xf>
    <xf numFmtId="0" fontId="13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>
      <alignment vertical="center"/>
    </xf>
    <xf numFmtId="0" fontId="8" fillId="0" borderId="0" xfId="0" applyFont="1" applyAlignment="1">
      <alignment vertical="center" wrapText="1"/>
    </xf>
    <xf numFmtId="0" fontId="11" fillId="0" borderId="0" xfId="51" applyAlignment="1"/>
    <xf numFmtId="14" fontId="18" fillId="0" borderId="0" xfId="51" applyNumberFormat="1" applyFont="1" applyAlignment="1">
      <alignment horizontal="left"/>
    </xf>
    <xf numFmtId="0" fontId="18" fillId="0" borderId="0" xfId="51" applyFont="1" applyAlignment="1">
      <alignment wrapText="1"/>
    </xf>
    <xf numFmtId="0" fontId="18" fillId="0" borderId="0" xfId="51" applyFont="1" applyAlignment="1">
      <alignment vertical="top" wrapText="1"/>
    </xf>
    <xf numFmtId="14" fontId="18" fillId="0" borderId="0" xfId="51" applyNumberFormat="1" applyFont="1" applyAlignment="1">
      <alignment horizontal="left" wrapText="1"/>
    </xf>
    <xf numFmtId="0" fontId="18" fillId="0" borderId="0" xfId="49" applyFont="1" applyAlignment="1"/>
    <xf numFmtId="0" fontId="19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0" fillId="0" borderId="0" xfId="49" applyFont="1" applyAlignment="1">
      <alignment horizontal="center" vertical="center"/>
    </xf>
    <xf numFmtId="0" fontId="21" fillId="0" borderId="0" xfId="49" applyFont="1" applyAlignment="1">
      <alignment horizontal="center" vertical="center" wrapText="1"/>
    </xf>
    <xf numFmtId="0" fontId="9" fillId="0" borderId="10" xfId="0" applyFont="1" applyBorder="1" applyAlignment="1">
      <alignment horizontal="justify" vertical="center" wrapText="1"/>
    </xf>
    <xf numFmtId="0" fontId="9" fillId="0" borderId="11" xfId="0" applyFont="1" applyBorder="1" applyAlignment="1">
      <alignment horizontal="justify" vertical="center" wrapText="1"/>
    </xf>
    <xf numFmtId="0" fontId="22" fillId="0" borderId="10" xfId="0" applyFont="1" applyBorder="1" applyAlignment="1">
      <alignment horizontal="justify" vertical="center" wrapText="1"/>
    </xf>
    <xf numFmtId="0" fontId="18" fillId="0" borderId="0" xfId="49" applyFont="1" applyFill="1" applyAlignment="1"/>
    <xf numFmtId="0" fontId="22" fillId="0" borderId="11" xfId="0" applyFont="1" applyBorder="1" applyAlignment="1">
      <alignment horizontal="justify" vertical="center" wrapText="1"/>
    </xf>
    <xf numFmtId="0" fontId="19" fillId="0" borderId="11" xfId="0" applyFont="1" applyBorder="1" applyAlignment="1">
      <alignment horizontal="justify" vertical="center" wrapText="1"/>
    </xf>
    <xf numFmtId="0" fontId="18" fillId="0" borderId="0" xfId="49" applyFont="1" applyAlignment="1">
      <alignment vertical="center"/>
    </xf>
    <xf numFmtId="0" fontId="20" fillId="0" borderId="0" xfId="49" applyFont="1" applyAlignment="1">
      <alignment horizontal="center" vertical="center" wrapText="1"/>
    </xf>
    <xf numFmtId="0" fontId="18" fillId="0" borderId="0" xfId="49" applyFont="1" applyAlignment="1">
      <alignment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dxfs count="174">
    <dxf>
      <font>
        <name val="微软雅黑"/>
        <scheme val="none"/>
        <b val="0"/>
        <i val="0"/>
        <strike val="0"/>
        <u val="none"/>
        <sz val="12"/>
        <color auto="1"/>
      </font>
    </dxf>
    <dxf>
      <font>
        <name val="微软雅黑"/>
        <scheme val="none"/>
        <b val="0"/>
        <i val="0"/>
        <strike val="0"/>
        <u val="none"/>
        <sz val="12"/>
        <color auto="1"/>
      </font>
    </dxf>
    <dxf>
      <font>
        <name val="微软雅黑"/>
        <scheme val="none"/>
        <b val="0"/>
        <i val="0"/>
        <strike val="0"/>
        <u val="none"/>
        <sz val="12"/>
        <color auto="1"/>
      </font>
    </dxf>
    <dxf>
      <font>
        <name val="微软雅黑"/>
        <scheme val="none"/>
        <b val="0"/>
        <i val="0"/>
        <strike val="0"/>
        <u val="none"/>
        <sz val="12"/>
        <color auto="1"/>
      </font>
    </dxf>
    <dxf>
      <font>
        <name val="微软雅黑"/>
        <scheme val="none"/>
        <b val="0"/>
        <i val="0"/>
        <strike val="0"/>
        <u val="none"/>
        <sz val="12"/>
        <color auto="1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9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9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9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9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9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left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b val="0"/>
        <strike val="0"/>
        <u val="none"/>
        <sz val="11"/>
        <color theme="1"/>
      </font>
    </dxf>
    <dxf>
      <font>
        <name val="微软雅黑"/>
        <scheme val="none"/>
        <b val="0"/>
        <strike val="0"/>
        <u val="none"/>
        <sz val="9"/>
        <color theme="1"/>
      </font>
      <alignment horizontal="center" vertical="center"/>
    </dxf>
    <dxf>
      <font>
        <name val="微软雅黑"/>
        <scheme val="none"/>
        <b val="0"/>
        <strike val="0"/>
        <u val="none"/>
        <sz val="11"/>
        <color theme="1"/>
      </font>
    </dxf>
    <dxf>
      <font>
        <name val="微软雅黑"/>
        <scheme val="none"/>
        <b val="0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9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left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9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left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9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left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9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9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b val="0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9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9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left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9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9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left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9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left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9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9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left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b val="0"/>
        <strike val="0"/>
        <u val="none"/>
        <sz val="11"/>
        <color theme="1"/>
      </font>
    </dxf>
    <dxf>
      <font>
        <name val="微软雅黑"/>
        <scheme val="none"/>
        <b val="0"/>
        <strike val="0"/>
        <u val="none"/>
        <sz val="9"/>
        <color theme="1"/>
      </font>
      <alignment horizontal="center" vertical="center"/>
    </dxf>
    <dxf>
      <font>
        <name val="微软雅黑"/>
        <scheme val="none"/>
        <b val="0"/>
        <strike val="0"/>
        <u val="none"/>
        <sz val="11"/>
        <color theme="1"/>
      </font>
    </dxf>
    <dxf>
      <font>
        <name val="微软雅黑"/>
        <scheme val="none"/>
        <b val="0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9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left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b val="0"/>
        <strike val="0"/>
        <u val="none"/>
        <sz val="11"/>
        <color theme="1"/>
      </font>
    </dxf>
    <dxf>
      <font>
        <name val="微软雅黑"/>
        <scheme val="none"/>
        <b val="0"/>
        <strike val="0"/>
        <u val="none"/>
        <sz val="9"/>
        <color theme="1"/>
      </font>
      <alignment horizontal="center" vertical="center"/>
    </dxf>
    <dxf>
      <font>
        <name val="微软雅黑"/>
        <scheme val="none"/>
        <b val="0"/>
        <strike val="0"/>
        <u val="none"/>
        <sz val="11"/>
        <color theme="1"/>
      </font>
    </dxf>
    <dxf>
      <font>
        <name val="微软雅黑"/>
        <scheme val="none"/>
        <b val="0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strike val="0"/>
        <u val="none"/>
        <sz val="11"/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7981950</xdr:colOff>
      <xdr:row>5</xdr:row>
      <xdr:rowOff>22486</xdr:rowOff>
    </xdr:from>
    <xdr:to>
      <xdr:col>5</xdr:col>
      <xdr:colOff>257174</xdr:colOff>
      <xdr:row>5</xdr:row>
      <xdr:rowOff>1846736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21345" y="2582545"/>
          <a:ext cx="2108200" cy="18243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4" name="表4" displayName="表4" ref="G1:H19" totalsRowShown="0">
  <autoFilter ref="G1:H19"/>
  <tableColumns count="2">
    <tableColumn id="1" name="NS-SF 消息名称" dataDxfId="0"/>
    <tableColumn id="2" name="消息类型&#10;MessageTyp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6" name="表6" displayName="表6" ref="L1:N62" totalsRowShown="0">
  <autoFilter ref="L1:N62"/>
  <tableColumns count="3">
    <tableColumn id="1" name="字段名称" dataDxfId="2"/>
    <tableColumn id="2" name="字段类型&#10;TagType" dataDxfId="3"/>
    <tableColumn id="3" name="字段长度&#10;Length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表1_6" displayName="表1_6" ref="B4:I6" totalsRowShown="0">
  <autoFilter ref="B4:I6"/>
  <tableColumns count="8">
    <tableColumn id="1" name="IE/Group Name" dataDxfId="6"/>
    <tableColumn id="2" name="是否携带" dataDxfId="7"/>
    <tableColumn id="3" name="范围" dataDxfId="8"/>
    <tableColumn id="4" name="IE type and reference" dataDxfId="9"/>
    <tableColumn id="5" name="描述" dataDxfId="10"/>
    <tableColumn id="6" name="Criticality" dataDxfId="11"/>
    <tableColumn id="7" name="Assigned Criticality" dataDxfId="12"/>
    <tableColumn id="8" name="示例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8" name="表1_619" displayName="表1_619" ref="B10:I14" totalsRowShown="0">
  <autoFilter ref="B10:I14"/>
  <tableColumns count="8">
    <tableColumn id="1" name="IE/Group Name" dataDxfId="14"/>
    <tableColumn id="2" name="是否携带" dataDxfId="15"/>
    <tableColumn id="3" name="范围" dataDxfId="16"/>
    <tableColumn id="4" name="IE type and reference" dataDxfId="17"/>
    <tableColumn id="5" name="描述" dataDxfId="18"/>
    <tableColumn id="6" name="Criticality" dataDxfId="19"/>
    <tableColumn id="7" name="Assigned Criticality" dataDxfId="20"/>
    <tableColumn id="8" name="示例" dataDxfId="2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9" name="表1_620" displayName="表1_620" ref="B18:I25" totalsRowShown="0">
  <autoFilter ref="B18:I25"/>
  <tableColumns count="8">
    <tableColumn id="1" name="IE/Group Name" dataDxfId="22"/>
    <tableColumn id="2" name="是否携带" dataDxfId="23"/>
    <tableColumn id="3" name="范围" dataDxfId="24"/>
    <tableColumn id="4" name="IE type and reference" dataDxfId="25"/>
    <tableColumn id="5" name="描述" dataDxfId="26"/>
    <tableColumn id="6" name="Criticality" dataDxfId="27"/>
    <tableColumn id="7" name="Assigned Criticality" dataDxfId="28"/>
    <tableColumn id="8" name="示例" dataDxfId="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20" name="表1_62021" displayName="表1_62021" ref="B28:I31" totalsRowShown="0">
  <autoFilter ref="B28:I31"/>
  <tableColumns count="8">
    <tableColumn id="1" name="IE/Group Name" dataDxfId="30"/>
    <tableColumn id="2" name="是否携带" dataDxfId="31"/>
    <tableColumn id="3" name="范围" dataDxfId="32"/>
    <tableColumn id="4" name="IE type and reference" dataDxfId="33"/>
    <tableColumn id="5" name="描述" dataDxfId="34"/>
    <tableColumn id="6" name="Criticality" dataDxfId="35"/>
    <tableColumn id="7" name="Assigned Criticality" dataDxfId="36"/>
    <tableColumn id="8" name="示例" dataDxfId="3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" name="表1" displayName="表1" ref="B2:I9" totalsRowShown="0">
  <autoFilter ref="B2:I9"/>
  <tableColumns count="8">
    <tableColumn id="1" name="IE/Group Name" dataDxfId="38"/>
    <tableColumn id="2" name="是否携带" dataDxfId="39"/>
    <tableColumn id="3" name="范围" dataDxfId="40"/>
    <tableColumn id="4" name="IE type and reference" dataDxfId="41"/>
    <tableColumn id="5" name="描述" dataDxfId="42"/>
    <tableColumn id="6" name="Criticality" dataDxfId="43"/>
    <tableColumn id="7" name="Assigned Criticality" dataDxfId="44"/>
    <tableColumn id="8" name="示例" dataDxfId="4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2" name="表1_3" displayName="表1_3" ref="B13:I16" totalsRowShown="0">
  <autoFilter ref="B13:I16"/>
  <tableColumns count="8">
    <tableColumn id="1" name="IE/Group Name" dataDxfId="46"/>
    <tableColumn id="2" name="是否携带" dataDxfId="47"/>
    <tableColumn id="3" name="范围" dataDxfId="48"/>
    <tableColumn id="4" name="IE type and reference" dataDxfId="49"/>
    <tableColumn id="5" name="描述" dataDxfId="50"/>
    <tableColumn id="6" name="Criticality" dataDxfId="51"/>
    <tableColumn id="7" name="Assigned Criticality" dataDxfId="52"/>
    <tableColumn id="8" name="示例" dataDxfId="5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7" name="表1_8" displayName="表1_8" ref="B20:I23" totalsRowShown="0">
  <autoFilter ref="B20:I23"/>
  <tableColumns count="8">
    <tableColumn id="1" name="IE/Group Name" dataDxfId="54"/>
    <tableColumn id="2" name="是否携带" dataDxfId="55"/>
    <tableColumn id="3" name="范围" dataDxfId="56"/>
    <tableColumn id="4" name="IE type and reference" dataDxfId="57"/>
    <tableColumn id="5" name="描述" dataDxfId="58"/>
    <tableColumn id="6" name="Criticality" dataDxfId="59"/>
    <tableColumn id="7" name="Assigned Criticality" dataDxfId="60"/>
    <tableColumn id="8" name="示例" dataDxfId="6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8" name="表1_89" displayName="表1_89" ref="B27:I29" totalsRowShown="0">
  <autoFilter ref="B27:I29"/>
  <tableColumns count="8">
    <tableColumn id="1" name="IE/Group Name" dataDxfId="62"/>
    <tableColumn id="2" name="是否携带" dataDxfId="63"/>
    <tableColumn id="3" name="范围" dataDxfId="64"/>
    <tableColumn id="4" name="IE type and reference" dataDxfId="65"/>
    <tableColumn id="5" name="描述" dataDxfId="66"/>
    <tableColumn id="6" name="Criticality" dataDxfId="67"/>
    <tableColumn id="7" name="Assigned Criticality" dataDxfId="68"/>
    <tableColumn id="8" name="示例" dataDxfId="6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9" name="表1_10" displayName="表1_10" ref="B2:I6" totalsRowShown="0">
  <autoFilter ref="B2:I6"/>
  <tableColumns count="8">
    <tableColumn id="1" name="IE/Group Name" dataDxfId="70"/>
    <tableColumn id="2" name="是否携带" dataDxfId="71"/>
    <tableColumn id="3" name="范围" dataDxfId="72"/>
    <tableColumn id="4" name="IE type and reference" dataDxfId="73"/>
    <tableColumn id="5" name="描述" dataDxfId="74"/>
    <tableColumn id="6" name="Criticality" dataDxfId="75"/>
    <tableColumn id="7" name="Assigned Criticality" dataDxfId="76"/>
    <tableColumn id="8" name="示例" dataDxfId="7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0" name="表1_311" displayName="表1_311" ref="B10:I12" totalsRowShown="0">
  <autoFilter ref="B10:I12"/>
  <tableColumns count="8">
    <tableColumn id="1" name="IE/Group Name" dataDxfId="78"/>
    <tableColumn id="2" name="是否携带" dataDxfId="79"/>
    <tableColumn id="3" name="范围" dataDxfId="80"/>
    <tableColumn id="4" name="IE type and reference" dataDxfId="81"/>
    <tableColumn id="5" name="描述" dataDxfId="82"/>
    <tableColumn id="6" name="Criticality" dataDxfId="83"/>
    <tableColumn id="7" name="Assigned Criticality" dataDxfId="84"/>
    <tableColumn id="8" name="示例" dataDxfId="8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2" name="表1_1013" displayName="表1_1013" ref="B3:I5" totalsRowShown="0">
  <autoFilter ref="B3:I5"/>
  <tableColumns count="8">
    <tableColumn id="1" name="IE/Group Name" dataDxfId="86"/>
    <tableColumn id="2" name="是否携带" dataDxfId="87"/>
    <tableColumn id="3" name="范围" dataDxfId="88"/>
    <tableColumn id="4" name="IE type and reference" dataDxfId="89"/>
    <tableColumn id="5" name="描述" dataDxfId="90"/>
    <tableColumn id="6" name="Criticality" dataDxfId="91"/>
    <tableColumn id="7" name="Assigned Criticality" dataDxfId="92"/>
    <tableColumn id="8" name="示例" dataDxfId="9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3" name="表1_31114" displayName="表1_31114" ref="B8:I9" totalsRowShown="0">
  <autoFilter ref="B8:I9"/>
  <tableColumns count="8">
    <tableColumn id="1" name="IE/Group Name" dataDxfId="94"/>
    <tableColumn id="2" name="是否携带" dataDxfId="95"/>
    <tableColumn id="3" name="范围" dataDxfId="96"/>
    <tableColumn id="4" name="IE type and reference" dataDxfId="97"/>
    <tableColumn id="5" name="描述" dataDxfId="98"/>
    <tableColumn id="6" name="Criticality" dataDxfId="99"/>
    <tableColumn id="7" name="Assigned Criticality" dataDxfId="100"/>
    <tableColumn id="8" name="示例" dataDxfId="10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表1_16" displayName="表1_16" ref="B2:I5" totalsRowShown="0">
  <autoFilter ref="B2:I5"/>
  <tableColumns count="8">
    <tableColumn id="1" name="IE/Group Name" dataDxfId="102"/>
    <tableColumn id="2" name="是否携带" dataDxfId="103"/>
    <tableColumn id="3" name="范围" dataDxfId="104"/>
    <tableColumn id="4" name="IE type and reference" dataDxfId="105"/>
    <tableColumn id="5" name="描述" dataDxfId="106"/>
    <tableColumn id="6" name="Criticality" dataDxfId="107"/>
    <tableColumn id="7" name="Assigned Criticality" dataDxfId="108"/>
    <tableColumn id="8" name="示例" dataDxfId="109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表1_317" displayName="表1_317" ref="B9:I11" totalsRowShown="0">
  <autoFilter ref="B9:I11"/>
  <tableColumns count="8">
    <tableColumn id="1" name="IE/Group Name" dataDxfId="110"/>
    <tableColumn id="2" name="是否携带" dataDxfId="111"/>
    <tableColumn id="3" name="范围" dataDxfId="112"/>
    <tableColumn id="4" name="IE type and reference" dataDxfId="113"/>
    <tableColumn id="5" name="描述" dataDxfId="114"/>
    <tableColumn id="6" name="Criticality" dataDxfId="115"/>
    <tableColumn id="7" name="Assigned Criticality" dataDxfId="116"/>
    <tableColumn id="8" name="示例" dataDxfId="117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1" name="表1_1612" displayName="表1_1612" ref="B20:I23" totalsRowShown="0">
  <autoFilter ref="B20:I23"/>
  <tableColumns count="8">
    <tableColumn id="1" name="IE/Group Name" dataDxfId="118"/>
    <tableColumn id="2" name="是否携带" dataDxfId="119"/>
    <tableColumn id="3" name="范围" dataDxfId="120"/>
    <tableColumn id="4" name="IE type and reference" dataDxfId="121"/>
    <tableColumn id="5" name="描述" dataDxfId="122"/>
    <tableColumn id="6" name="Criticality" dataDxfId="123"/>
    <tableColumn id="7" name="Assigned Criticality" dataDxfId="124"/>
    <tableColumn id="8" name="示例" dataDxfId="12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21" name="表1_1622" displayName="表1_1622" ref="B2:I3" totalsRowShown="0">
  <autoFilter ref="B2:I3"/>
  <tableColumns count="8">
    <tableColumn id="1" name="IE/Group Name" dataDxfId="126"/>
    <tableColumn id="2" name="是否携带" dataDxfId="127"/>
    <tableColumn id="3" name="范围" dataDxfId="128"/>
    <tableColumn id="4" name="IE type and reference" dataDxfId="129"/>
    <tableColumn id="5" name="描述" dataDxfId="130"/>
    <tableColumn id="6" name="Criticality" dataDxfId="131"/>
    <tableColumn id="7" name="Assigned Criticality" dataDxfId="132"/>
    <tableColumn id="8" name="示例" dataDxfId="133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22" name="表1_31723" displayName="表1_31723" ref="B7:I8" totalsRowShown="0">
  <autoFilter ref="B7:I8"/>
  <tableColumns count="8">
    <tableColumn id="1" name="IE/Group Name" dataDxfId="134"/>
    <tableColumn id="2" name="是否携带" dataDxfId="135"/>
    <tableColumn id="3" name="范围" dataDxfId="136"/>
    <tableColumn id="4" name="IE type and reference" dataDxfId="137"/>
    <tableColumn id="5" name="描述" dataDxfId="138"/>
    <tableColumn id="6" name="Criticality" dataDxfId="139"/>
    <tableColumn id="7" name="Assigned Criticality" dataDxfId="140"/>
    <tableColumn id="8" name="示例" dataDxfId="14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4" name="表1_425" displayName="表1_425" ref="B4:I9" totalsRowShown="0">
  <autoFilter ref="B4:I9"/>
  <tableColumns count="8">
    <tableColumn id="1" name="IE/Group Name" dataDxfId="142"/>
    <tableColumn id="2" name="是否携带" dataDxfId="143"/>
    <tableColumn id="3" name="范围" dataDxfId="144"/>
    <tableColumn id="4" name="IE type and reference" dataDxfId="145"/>
    <tableColumn id="5" name="描述" dataDxfId="146"/>
    <tableColumn id="6" name="Criticality" dataDxfId="147"/>
    <tableColumn id="7" name="Assigned Criticality" dataDxfId="148"/>
    <tableColumn id="8" name="示例" dataDxfId="149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5" name="表1_31526" displayName="表1_31526" ref="B13:I18" totalsRowShown="0">
  <autoFilter ref="B13:I18"/>
  <tableColumns count="8">
    <tableColumn id="1" name="IE/Group Name" dataDxfId="150"/>
    <tableColumn id="2" name="是否携带" dataDxfId="151"/>
    <tableColumn id="3" name="范围" dataDxfId="152"/>
    <tableColumn id="4" name="IE type and reference" dataDxfId="153"/>
    <tableColumn id="5" name="描述" dataDxfId="154"/>
    <tableColumn id="6" name="Criticality" dataDxfId="155"/>
    <tableColumn id="7" name="Assigned Criticality" dataDxfId="156"/>
    <tableColumn id="8" name="示例" dataDxfId="157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17" name="表1_418" displayName="表1_418" ref="B2:I5" totalsRowShown="0">
  <autoFilter ref="B2:I5"/>
  <tableColumns count="8">
    <tableColumn id="1" name="IE/Group Name" dataDxfId="158"/>
    <tableColumn id="2" name="是否携带" dataDxfId="159"/>
    <tableColumn id="3" name="范围" dataDxfId="160"/>
    <tableColumn id="4" name="IE type and reference" dataDxfId="161"/>
    <tableColumn id="5" name="描述" dataDxfId="162"/>
    <tableColumn id="6" name="Criticality" dataDxfId="163"/>
    <tableColumn id="7" name="Assigned Criticality" dataDxfId="164"/>
    <tableColumn id="8" name="示例" dataDxfId="165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表1_31524" displayName="表1_31524" ref="B9:I12" totalsRowShown="0">
  <autoFilter ref="B9:I12"/>
  <tableColumns count="8">
    <tableColumn id="1" name="IE/Group Name" dataDxfId="166"/>
    <tableColumn id="2" name="是否携带" dataDxfId="167"/>
    <tableColumn id="3" name="范围" dataDxfId="168"/>
    <tableColumn id="4" name="IE type and reference" dataDxfId="169"/>
    <tableColumn id="5" name="描述" dataDxfId="170"/>
    <tableColumn id="6" name="Criticality" dataDxfId="171"/>
    <tableColumn id="7" name="Assigned Criticality" dataDxfId="172"/>
    <tableColumn id="8" name="示例" dataDxfId="17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table" Target="../tables/table6.xml"/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0.xml"/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8"/>
  <sheetViews>
    <sheetView workbookViewId="0">
      <selection activeCell="G15" sqref="G15"/>
    </sheetView>
  </sheetViews>
  <sheetFormatPr defaultColWidth="9" defaultRowHeight="17.4"/>
  <cols>
    <col min="1" max="1" width="24.8796296296296" style="134" customWidth="1"/>
    <col min="2" max="2" width="12.25" style="134" customWidth="1"/>
    <col min="3" max="3" width="27.25" style="134" customWidth="1"/>
    <col min="4" max="6" width="9" style="134"/>
    <col min="7" max="7" width="44.8796296296296" style="134" customWidth="1"/>
    <col min="8" max="8" width="24.3796296296296" style="134" customWidth="1"/>
    <col min="9" max="11" width="9" style="134"/>
    <col min="12" max="12" width="29.75" style="134" customWidth="1"/>
    <col min="13" max="13" width="21.25" style="134" customWidth="1"/>
    <col min="14" max="14" width="36" style="134" customWidth="1"/>
    <col min="15" max="16384" width="9" style="134"/>
  </cols>
  <sheetData>
    <row r="1" ht="35.55" spans="1:14">
      <c r="A1" s="135" t="s">
        <v>0</v>
      </c>
      <c r="B1" s="136" t="s">
        <v>1</v>
      </c>
      <c r="C1" s="3"/>
      <c r="G1" s="137" t="s">
        <v>2</v>
      </c>
      <c r="H1" s="138" t="s">
        <v>3</v>
      </c>
      <c r="I1" s="145"/>
      <c r="J1" s="145"/>
      <c r="K1" s="145"/>
      <c r="L1" s="137" t="s">
        <v>4</v>
      </c>
      <c r="M1" s="138" t="s">
        <v>5</v>
      </c>
      <c r="N1" s="146" t="s">
        <v>6</v>
      </c>
    </row>
    <row r="2" ht="18.15" spans="1:14">
      <c r="A2" s="139" t="s">
        <v>7</v>
      </c>
      <c r="B2" s="140" t="s">
        <v>8</v>
      </c>
      <c r="C2" s="3"/>
      <c r="G2" s="134" t="s">
        <v>9</v>
      </c>
      <c r="H2" s="134" t="str">
        <f>IF(表4[[#This Row],[NS-SF 消息名称]]&lt;&gt;"","0x"&amp;DEC2HEX(61439+ROW(A2)),"")</f>
        <v>0xF001</v>
      </c>
      <c r="L2" s="134" t="s">
        <v>10</v>
      </c>
      <c r="M2" s="142" t="str">
        <f>IF(表6[[#This Row],[字段名称]]&lt;&gt;"","0x"&amp;DEC2HEX(61951+ROW(A2)),"")</f>
        <v>0xF201</v>
      </c>
      <c r="N2" s="134" t="s">
        <v>11</v>
      </c>
    </row>
    <row r="3" ht="18.15" spans="1:14">
      <c r="A3" s="139" t="s">
        <v>12</v>
      </c>
      <c r="B3" s="140" t="s">
        <v>13</v>
      </c>
      <c r="C3" s="3"/>
      <c r="G3" s="134" t="s">
        <v>14</v>
      </c>
      <c r="H3" s="134" t="str">
        <f>IF(表4[[#This Row],[NS-SF 消息名称]]&lt;&gt;"","0x"&amp;DEC2HEX(61439+ROW(A3)),"")</f>
        <v>0xF002</v>
      </c>
      <c r="L3" s="134" t="s">
        <v>15</v>
      </c>
      <c r="M3" s="142" t="str">
        <f>IF(表6[[#This Row],[字段名称]]&lt;&gt;"","0x"&amp;DEC2HEX(61951+ROW(A3)),"")</f>
        <v>0xF202</v>
      </c>
      <c r="N3" s="134" t="s">
        <v>16</v>
      </c>
    </row>
    <row r="4" ht="18.15" spans="1:14">
      <c r="A4" s="141" t="s">
        <v>17</v>
      </c>
      <c r="B4" s="140" t="s">
        <v>18</v>
      </c>
      <c r="C4" s="3"/>
      <c r="G4" s="134" t="s">
        <v>19</v>
      </c>
      <c r="H4" s="134" t="str">
        <f>IF(表4[[#This Row],[NS-SF 消息名称]]&lt;&gt;"","0x"&amp;DEC2HEX(61439+ROW(A4)),"")</f>
        <v>0xF003</v>
      </c>
      <c r="L4" s="134" t="s">
        <v>20</v>
      </c>
      <c r="M4" s="142" t="str">
        <f>IF(表6[[#This Row],[字段名称]]&lt;&gt;"","0x"&amp;DEC2HEX(61951+ROW(A4)),"")</f>
        <v>0xF203</v>
      </c>
      <c r="N4" s="134" t="s">
        <v>21</v>
      </c>
    </row>
    <row r="5" ht="18.15" spans="1:14">
      <c r="A5" s="141" t="s">
        <v>22</v>
      </c>
      <c r="B5" s="140" t="s">
        <v>23</v>
      </c>
      <c r="C5" s="3"/>
      <c r="G5" s="134" t="s">
        <v>24</v>
      </c>
      <c r="H5" s="134" t="str">
        <f>IF(表4[[#This Row],[NS-SF 消息名称]]&lt;&gt;"","0x"&amp;DEC2HEX(61439+ROW(A5)),"")</f>
        <v>0xF004</v>
      </c>
      <c r="L5" s="134" t="s">
        <v>25</v>
      </c>
      <c r="M5" s="142" t="str">
        <f>IF(表6[[#This Row],[字段名称]]&lt;&gt;"","0x"&amp;DEC2HEX(61951+ROW(A5)),"")</f>
        <v>0xF204</v>
      </c>
      <c r="N5" s="134" t="s">
        <v>21</v>
      </c>
    </row>
    <row r="6" ht="18.15" spans="1:14">
      <c r="A6" s="139" t="s">
        <v>26</v>
      </c>
      <c r="B6" s="140" t="s">
        <v>27</v>
      </c>
      <c r="C6" s="3"/>
      <c r="G6" s="134" t="s">
        <v>28</v>
      </c>
      <c r="H6" s="134" t="str">
        <f>IF(表4[[#This Row],[NS-SF 消息名称]]&lt;&gt;"","0x"&amp;DEC2HEX(61439+ROW(A6)),"")</f>
        <v>0xF005</v>
      </c>
      <c r="L6" s="134" t="s">
        <v>29</v>
      </c>
      <c r="M6" s="142" t="str">
        <f>IF(表6[[#This Row],[字段名称]]&lt;&gt;"","0x"&amp;DEC2HEX(61951+ROW(A6)),"")</f>
        <v>0xF205</v>
      </c>
      <c r="N6" s="134" t="s">
        <v>21</v>
      </c>
    </row>
    <row r="7" ht="18.15" spans="1:14">
      <c r="A7" s="139" t="s">
        <v>30</v>
      </c>
      <c r="B7" s="140" t="s">
        <v>31</v>
      </c>
      <c r="C7" s="3"/>
      <c r="G7" s="134" t="s">
        <v>32</v>
      </c>
      <c r="H7" s="134" t="str">
        <f>IF(表4[[#This Row],[NS-SF 消息名称]]&lt;&gt;"","0x"&amp;DEC2HEX(61439+ROW(A7)),"")</f>
        <v>0xF006</v>
      </c>
      <c r="L7" s="134" t="s">
        <v>33</v>
      </c>
      <c r="M7" s="142" t="str">
        <f>IF(表6[[#This Row],[字段名称]]&lt;&gt;"","0x"&amp;DEC2HEX(61951+ROW(A7)),"")</f>
        <v>0xF206</v>
      </c>
      <c r="N7" s="134" t="s">
        <v>21</v>
      </c>
    </row>
    <row r="8" ht="18.15" spans="1:14">
      <c r="A8" s="141" t="s">
        <v>34</v>
      </c>
      <c r="B8" s="140" t="s">
        <v>35</v>
      </c>
      <c r="C8" s="3"/>
      <c r="G8" s="134" t="s">
        <v>36</v>
      </c>
      <c r="H8" s="134" t="str">
        <f>IF(表4[[#This Row],[NS-SF 消息名称]]&lt;&gt;"","0x"&amp;DEC2HEX(61439+ROW(A8)),"")</f>
        <v>0xF007</v>
      </c>
      <c r="L8" s="134" t="s">
        <v>37</v>
      </c>
      <c r="M8" s="142" t="str">
        <f>IF(表6[[#This Row],[字段名称]]&lt;&gt;"","0x"&amp;DEC2HEX(61951+ROW(A8)),"")</f>
        <v>0xF207</v>
      </c>
      <c r="N8" s="134" t="s">
        <v>38</v>
      </c>
    </row>
    <row r="9" ht="18.15" spans="1:14">
      <c r="A9" s="141" t="s">
        <v>39</v>
      </c>
      <c r="B9" s="140" t="s">
        <v>40</v>
      </c>
      <c r="C9" s="3"/>
      <c r="G9" s="134" t="s">
        <v>41</v>
      </c>
      <c r="H9" s="134" t="str">
        <f>IF(表4[[#This Row],[NS-SF 消息名称]]&lt;&gt;"","0x"&amp;DEC2HEX(61439+ROW(A9)),"")</f>
        <v>0xF008</v>
      </c>
      <c r="L9" s="134" t="s">
        <v>42</v>
      </c>
      <c r="M9" s="142" t="str">
        <f>IF(表6[[#This Row],[字段名称]]&lt;&gt;"","0x"&amp;DEC2HEX(61951+ROW(A9)),"")</f>
        <v>0xF208</v>
      </c>
      <c r="N9" s="134" t="s">
        <v>43</v>
      </c>
    </row>
    <row r="10" ht="18.15" spans="1:14">
      <c r="A10" s="141" t="s">
        <v>44</v>
      </c>
      <c r="B10" s="140" t="s">
        <v>45</v>
      </c>
      <c r="C10" s="3"/>
      <c r="G10" s="134" t="s">
        <v>46</v>
      </c>
      <c r="H10" s="134" t="str">
        <f>IF(表4[[#This Row],[NS-SF 消息名称]]&lt;&gt;"","0x"&amp;DEC2HEX(61439+ROW(A10)),"")</f>
        <v>0xF009</v>
      </c>
      <c r="L10" s="134" t="s">
        <v>47</v>
      </c>
      <c r="M10" s="142" t="str">
        <f>IF(表6[[#This Row],[字段名称]]&lt;&gt;"","0x"&amp;DEC2HEX(61951+ROW(A10)),"")</f>
        <v>0xF209</v>
      </c>
      <c r="N10" s="134" t="s">
        <v>48</v>
      </c>
    </row>
    <row r="11" ht="18.15" spans="1:14">
      <c r="A11" s="141" t="s">
        <v>49</v>
      </c>
      <c r="B11" s="140" t="s">
        <v>50</v>
      </c>
      <c r="C11" s="3"/>
      <c r="G11" s="134" t="s">
        <v>51</v>
      </c>
      <c r="H11" s="134" t="str">
        <f>IF(表4[[#This Row],[NS-SF 消息名称]]&lt;&gt;"","0x"&amp;DEC2HEX(61439+ROW(A11)),"")</f>
        <v>0xF00A</v>
      </c>
      <c r="L11" s="134" t="s">
        <v>52</v>
      </c>
      <c r="M11" s="142" t="str">
        <f>IF(表6[[#This Row],[字段名称]]&lt;&gt;"","0x"&amp;DEC2HEX(61951+ROW(A11)),"")</f>
        <v>0xF20A</v>
      </c>
      <c r="N11" s="134" t="s">
        <v>53</v>
      </c>
    </row>
    <row r="12" ht="18.15" spans="1:14">
      <c r="A12" s="141" t="s">
        <v>54</v>
      </c>
      <c r="B12" s="140" t="s">
        <v>55</v>
      </c>
      <c r="C12" s="3"/>
      <c r="G12" s="142"/>
      <c r="H12" s="134" t="str">
        <f>IF(表4[[#This Row],[NS-SF 消息名称]]&lt;&gt;"","0x"&amp;DEC2HEX(61439+ROW(A12)),"")</f>
        <v/>
      </c>
      <c r="L12" s="134" t="s">
        <v>56</v>
      </c>
      <c r="M12" s="142" t="str">
        <f>IF(表6[[#This Row],[字段名称]]&lt;&gt;"","0x"&amp;DEC2HEX(61951+ROW(A12)),"")</f>
        <v>0xF20B</v>
      </c>
      <c r="N12" s="134" t="s">
        <v>57</v>
      </c>
    </row>
    <row r="13" ht="18.15" spans="1:14">
      <c r="A13" s="141" t="s">
        <v>58</v>
      </c>
      <c r="B13" s="140" t="s">
        <v>59</v>
      </c>
      <c r="C13" s="3"/>
      <c r="G13" s="142"/>
      <c r="H13" s="134" t="str">
        <f>IF(表4[[#This Row],[NS-SF 消息名称]]&lt;&gt;"","0x"&amp;DEC2HEX(61439+ROW(A13)),"")</f>
        <v/>
      </c>
      <c r="L13" s="134" t="s">
        <v>60</v>
      </c>
      <c r="M13" s="142" t="str">
        <f>IF(表6[[#This Row],[字段名称]]&lt;&gt;"","0x"&amp;DEC2HEX(61951+ROW(A13)),"")</f>
        <v>0xF20C</v>
      </c>
      <c r="N13" s="134" t="s">
        <v>53</v>
      </c>
    </row>
    <row r="14" ht="18.15" spans="1:14">
      <c r="A14" s="141" t="s">
        <v>61</v>
      </c>
      <c r="B14" s="140" t="s">
        <v>62</v>
      </c>
      <c r="C14" s="3"/>
      <c r="H14" s="134" t="str">
        <f>IF(表4[[#This Row],[NS-SF 消息名称]]&lt;&gt;"","0x"&amp;DEC2HEX(61439+ROW(A14)),"")</f>
        <v/>
      </c>
      <c r="L14" s="134" t="s">
        <v>63</v>
      </c>
      <c r="M14" s="142" t="str">
        <f>IF(表6[[#This Row],[字段名称]]&lt;&gt;"","0x"&amp;DEC2HEX(61951+ROW(A14)),"")</f>
        <v>0xF20D</v>
      </c>
      <c r="N14" s="134" t="s">
        <v>64</v>
      </c>
    </row>
    <row r="15" ht="18.15" spans="1:14">
      <c r="A15" s="141" t="s">
        <v>65</v>
      </c>
      <c r="B15" s="140" t="s">
        <v>66</v>
      </c>
      <c r="C15" s="3"/>
      <c r="G15" s="134" t="s">
        <v>67</v>
      </c>
      <c r="H15" s="134" t="str">
        <f>IF(表4[[#This Row],[NS-SF 消息名称]]&lt;&gt;"","0x"&amp;DEC2HEX(61439+ROW(A15)),"")</f>
        <v>0xF00E</v>
      </c>
      <c r="L15" s="134" t="s">
        <v>68</v>
      </c>
      <c r="M15" s="142" t="str">
        <f>IF(表6[[#This Row],[字段名称]]&lt;&gt;"","0x"&amp;DEC2HEX(61951+ROW(A15)),"")</f>
        <v>0xF20E</v>
      </c>
      <c r="N15" s="134" t="s">
        <v>21</v>
      </c>
    </row>
    <row r="16" spans="1:14">
      <c r="A16" s="3"/>
      <c r="B16" s="3"/>
      <c r="C16" s="3"/>
      <c r="G16" s="134" t="s">
        <v>69</v>
      </c>
      <c r="H16" s="134" t="str">
        <f>IF(表4[[#This Row],[NS-SF 消息名称]]&lt;&gt;"","0x"&amp;DEC2HEX(61439+ROW(A16)),"")</f>
        <v>0xF00F</v>
      </c>
      <c r="L16" s="134" t="s">
        <v>70</v>
      </c>
      <c r="M16" s="142" t="str">
        <f>IF(表6[[#This Row],[字段名称]]&lt;&gt;"","0x"&amp;DEC2HEX(61951+ROW(A16)),"")</f>
        <v>0xF20F</v>
      </c>
      <c r="N16" s="134" t="s">
        <v>43</v>
      </c>
    </row>
    <row r="17" spans="1:14">
      <c r="A17" s="3"/>
      <c r="B17" s="3"/>
      <c r="C17" s="3"/>
      <c r="H17" s="134" t="str">
        <f>IF(表4[[#This Row],[NS-SF 消息名称]]&lt;&gt;"","0x"&amp;DEC2HEX(61439+ROW(A17)),"")</f>
        <v/>
      </c>
      <c r="L17" s="134" t="s">
        <v>71</v>
      </c>
      <c r="M17" s="142" t="str">
        <f>IF(表6[[#This Row],[字段名称]]&lt;&gt;"","0x"&amp;DEC2HEX(61951+ROW(A17)),"")</f>
        <v>0xF210</v>
      </c>
      <c r="N17" s="134" t="s">
        <v>53</v>
      </c>
    </row>
    <row r="18" spans="1:14">
      <c r="A18" s="3"/>
      <c r="B18" s="3"/>
      <c r="C18" s="3"/>
      <c r="H18" s="134" t="str">
        <f>IF(表4[[#This Row],[NS-SF 消息名称]]&lt;&gt;"","0x"&amp;DEC2HEX(61439+ROW(A18)),"")</f>
        <v/>
      </c>
      <c r="L18" s="134" t="s">
        <v>72</v>
      </c>
      <c r="M18" s="142" t="str">
        <f>IF(表6[[#This Row],[字段名称]]&lt;&gt;"","0x"&amp;DEC2HEX(61951+ROW(A18)),"")</f>
        <v>0xF211</v>
      </c>
      <c r="N18" s="134" t="s">
        <v>73</v>
      </c>
    </row>
    <row r="19" spans="1:14">
      <c r="A19" s="3"/>
      <c r="B19" s="3"/>
      <c r="C19" s="3"/>
      <c r="H19" s="134" t="str">
        <f>IF(表4[[#This Row],[NS-SF 消息名称]]&lt;&gt;"","0x"&amp;DEC2HEX(61439+ROW(A19)),"")</f>
        <v/>
      </c>
      <c r="L19" s="134" t="s">
        <v>74</v>
      </c>
      <c r="M19" s="142" t="str">
        <f>IF(表6[[#This Row],[字段名称]]&lt;&gt;"","0x"&amp;DEC2HEX(61951+ROW(A19)),"")</f>
        <v>0xF212</v>
      </c>
      <c r="N19" s="134" t="s">
        <v>75</v>
      </c>
    </row>
    <row r="20" spans="1:14">
      <c r="A20" s="3"/>
      <c r="B20" s="3"/>
      <c r="C20" s="3"/>
      <c r="L20" s="134" t="s">
        <v>76</v>
      </c>
      <c r="M20" s="142" t="str">
        <f>IF(表6[[#This Row],[字段名称]]&lt;&gt;"","0x"&amp;DEC2HEX(61951+ROW(A20)),"")</f>
        <v>0xF213</v>
      </c>
      <c r="N20" s="134" t="s">
        <v>64</v>
      </c>
    </row>
    <row r="21" ht="52.2" spans="1:14">
      <c r="A21" s="3"/>
      <c r="B21" s="3"/>
      <c r="C21" s="3"/>
      <c r="L21" s="134" t="s">
        <v>77</v>
      </c>
      <c r="M21" s="142" t="str">
        <f>IF(表6[[#This Row],[字段名称]]&lt;&gt;"","0x"&amp;DEC2HEX(61951+ROW(A21)),"")</f>
        <v>0xF214</v>
      </c>
      <c r="N21" s="147" t="s">
        <v>78</v>
      </c>
    </row>
    <row r="22" ht="18.15" spans="1:14">
      <c r="A22" s="3"/>
      <c r="B22" s="3"/>
      <c r="C22" s="3"/>
      <c r="L22" s="134" t="s">
        <v>79</v>
      </c>
      <c r="M22" s="142" t="str">
        <f>IF(表6[[#This Row],[字段名称]]&lt;&gt;"","0x"&amp;DEC2HEX(61951+ROW(A22)),"")</f>
        <v>0xF215</v>
      </c>
      <c r="N22" s="134" t="s">
        <v>80</v>
      </c>
    </row>
    <row r="23" ht="27.15" spans="1:14">
      <c r="A23" s="135" t="s">
        <v>4</v>
      </c>
      <c r="B23" s="136" t="s">
        <v>81</v>
      </c>
      <c r="C23" s="136" t="s">
        <v>82</v>
      </c>
      <c r="L23" s="134" t="s">
        <v>83</v>
      </c>
      <c r="M23" s="142" t="str">
        <f>IF(表6[[#This Row],[字段名称]]&lt;&gt;"","0x"&amp;DEC2HEX(61951+ROW(A23)),"")</f>
        <v>0xF216</v>
      </c>
      <c r="N23" s="134" t="s">
        <v>53</v>
      </c>
    </row>
    <row r="24" ht="18.15" spans="1:14">
      <c r="A24" s="139" t="s">
        <v>84</v>
      </c>
      <c r="B24" s="140" t="s">
        <v>62</v>
      </c>
      <c r="C24" s="140" t="s">
        <v>85</v>
      </c>
      <c r="L24" s="142" t="s">
        <v>86</v>
      </c>
      <c r="M24" s="142" t="str">
        <f>IF(表6[[#This Row],[字段名称]]&lt;&gt;"","0x"&amp;DEC2HEX(61951+ROW(A24)),"")</f>
        <v>0xF217</v>
      </c>
      <c r="N24" s="142" t="s">
        <v>75</v>
      </c>
    </row>
    <row r="25" ht="18.15" spans="1:14">
      <c r="A25" s="139" t="s">
        <v>87</v>
      </c>
      <c r="B25" s="140" t="s">
        <v>66</v>
      </c>
      <c r="C25" s="140">
        <v>4</v>
      </c>
      <c r="L25" s="142" t="s">
        <v>88</v>
      </c>
      <c r="M25" s="142" t="str">
        <f>IF(表6[[#This Row],[字段名称]]&lt;&gt;"","0x"&amp;DEC2HEX(61951+ROW(A25)),"")</f>
        <v>0xF218</v>
      </c>
      <c r="N25" s="142" t="s">
        <v>16</v>
      </c>
    </row>
    <row r="26" ht="18.15" spans="1:14">
      <c r="A26" s="139" t="s">
        <v>89</v>
      </c>
      <c r="B26" s="140" t="s">
        <v>90</v>
      </c>
      <c r="C26" s="140">
        <v>4</v>
      </c>
      <c r="L26" s="142" t="s">
        <v>91</v>
      </c>
      <c r="M26" s="142" t="str">
        <f>IF(表6[[#This Row],[字段名称]]&lt;&gt;"","0x"&amp;DEC2HEX(61951+ROW(A26)),"")</f>
        <v>0xF219</v>
      </c>
      <c r="N26" s="142" t="s">
        <v>21</v>
      </c>
    </row>
    <row r="27" ht="18.15" spans="1:14">
      <c r="A27" s="139" t="s">
        <v>92</v>
      </c>
      <c r="B27" s="140" t="s">
        <v>93</v>
      </c>
      <c r="C27" s="140">
        <v>4</v>
      </c>
      <c r="L27" s="142" t="s">
        <v>94</v>
      </c>
      <c r="M27" s="142" t="str">
        <f>IF(表6[[#This Row],[字段名称]]&lt;&gt;"","0x"&amp;DEC2HEX(61951+ROW(A27)),"")</f>
        <v>0xF21A</v>
      </c>
      <c r="N27" s="142" t="s">
        <v>16</v>
      </c>
    </row>
    <row r="28" ht="18.15" spans="1:14">
      <c r="A28" s="139" t="s">
        <v>95</v>
      </c>
      <c r="B28" s="140" t="s">
        <v>96</v>
      </c>
      <c r="C28" s="140">
        <v>1</v>
      </c>
      <c r="L28" s="142" t="s">
        <v>97</v>
      </c>
      <c r="M28" s="142" t="str">
        <f>IF(表6[[#This Row],[字段名称]]&lt;&gt;"","0x"&amp;DEC2HEX(61951+ROW(A28)),"")</f>
        <v>0xF21B</v>
      </c>
      <c r="N28" s="142" t="s">
        <v>43</v>
      </c>
    </row>
    <row r="29" ht="18.15" spans="1:14">
      <c r="A29" s="139" t="s">
        <v>98</v>
      </c>
      <c r="B29" s="140" t="s">
        <v>99</v>
      </c>
      <c r="C29" s="140" t="s">
        <v>85</v>
      </c>
      <c r="L29" s="142" t="s">
        <v>100</v>
      </c>
      <c r="M29" s="142" t="str">
        <f>IF(表6[[#This Row],[字段名称]]&lt;&gt;"","0x"&amp;DEC2HEX(61951+ROW(A29)),"")</f>
        <v>0xF21C</v>
      </c>
      <c r="N29" s="142" t="s">
        <v>53</v>
      </c>
    </row>
    <row r="30" ht="18.15" spans="1:14">
      <c r="A30" s="139" t="s">
        <v>101</v>
      </c>
      <c r="B30" s="140" t="s">
        <v>102</v>
      </c>
      <c r="C30" s="140" t="s">
        <v>85</v>
      </c>
      <c r="L30" s="142" t="s">
        <v>103</v>
      </c>
      <c r="M30" s="142" t="str">
        <f>IF(表6[[#This Row],[字段名称]]&lt;&gt;"","0x"&amp;DEC2HEX(61951+ROW(A30)),"")</f>
        <v>0xF21D</v>
      </c>
      <c r="N30" s="142" t="s">
        <v>104</v>
      </c>
    </row>
    <row r="31" ht="27.15" spans="1:14">
      <c r="A31" s="141" t="s">
        <v>105</v>
      </c>
      <c r="B31" s="140" t="s">
        <v>106</v>
      </c>
      <c r="C31" s="140" t="s">
        <v>107</v>
      </c>
      <c r="L31" s="142" t="s">
        <v>108</v>
      </c>
      <c r="M31" s="142" t="str">
        <f>IF(表6[[#This Row],[字段名称]]&lt;&gt;"","0x"&amp;DEC2HEX(61951+ROW(A31)),"")</f>
        <v>0xF21E</v>
      </c>
      <c r="N31" s="142" t="s">
        <v>109</v>
      </c>
    </row>
    <row r="32" ht="27.15" spans="1:14">
      <c r="A32" s="141" t="s">
        <v>110</v>
      </c>
      <c r="B32" s="140" t="s">
        <v>111</v>
      </c>
      <c r="C32" s="140" t="s">
        <v>112</v>
      </c>
      <c r="L32" s="142" t="s">
        <v>113</v>
      </c>
      <c r="M32" s="142" t="str">
        <f>IF(表6[[#This Row],[字段名称]]&lt;&gt;"","0x"&amp;DEC2HEX(61951+ROW(A32)),"")</f>
        <v>0xF21F</v>
      </c>
      <c r="N32" s="142" t="s">
        <v>114</v>
      </c>
    </row>
    <row r="33" ht="18.15" spans="1:14">
      <c r="A33" s="139" t="s">
        <v>115</v>
      </c>
      <c r="B33" s="140" t="s">
        <v>116</v>
      </c>
      <c r="C33" s="140">
        <v>1</v>
      </c>
      <c r="L33" s="142" t="s">
        <v>117</v>
      </c>
      <c r="M33" s="142" t="str">
        <f>IF(表6[[#This Row],[字段名称]]&lt;&gt;"","0x"&amp;DEC2HEX(61951+ROW(A33)),"")</f>
        <v>0xF220</v>
      </c>
      <c r="N33" s="142" t="s">
        <v>118</v>
      </c>
    </row>
    <row r="34" ht="18.15" spans="1:14">
      <c r="A34" s="139" t="s">
        <v>119</v>
      </c>
      <c r="B34" s="140" t="s">
        <v>120</v>
      </c>
      <c r="C34" s="140">
        <v>1</v>
      </c>
      <c r="L34" s="142" t="s">
        <v>121</v>
      </c>
      <c r="M34" s="142" t="str">
        <f>IF(表6[[#This Row],[字段名称]]&lt;&gt;"","0x"&amp;DEC2HEX(61951+ROW(A34)),"")</f>
        <v>0xF221</v>
      </c>
      <c r="N34" s="142" t="s">
        <v>53</v>
      </c>
    </row>
    <row r="35" ht="27.15" spans="1:14">
      <c r="A35" s="141" t="s">
        <v>122</v>
      </c>
      <c r="B35" s="140" t="s">
        <v>123</v>
      </c>
      <c r="C35" s="140" t="s">
        <v>124</v>
      </c>
      <c r="L35" s="142" t="s">
        <v>125</v>
      </c>
      <c r="M35" s="142" t="str">
        <f>IF(表6[[#This Row],[字段名称]]&lt;&gt;"","0x"&amp;DEC2HEX(61951+ROW(A35)),"")</f>
        <v>0xF222</v>
      </c>
      <c r="N35" s="142" t="s">
        <v>126</v>
      </c>
    </row>
    <row r="36" ht="27.15" spans="1:14">
      <c r="A36" s="141" t="s">
        <v>127</v>
      </c>
      <c r="B36" s="140" t="s">
        <v>128</v>
      </c>
      <c r="C36" s="143" t="s">
        <v>129</v>
      </c>
      <c r="L36" s="142" t="s">
        <v>130</v>
      </c>
      <c r="M36" s="142" t="str">
        <f>IF(表6[[#This Row],[字段名称]]&lt;&gt;"","0x"&amp;DEC2HEX(61951+ROW(A36)),"")</f>
        <v>0xF223</v>
      </c>
      <c r="N36" s="142" t="s">
        <v>131</v>
      </c>
    </row>
    <row r="37" ht="18.15" spans="1:14">
      <c r="A37" s="141" t="s">
        <v>86</v>
      </c>
      <c r="B37" s="140" t="s">
        <v>132</v>
      </c>
      <c r="C37" s="140">
        <v>8</v>
      </c>
      <c r="L37" s="142" t="s">
        <v>133</v>
      </c>
      <c r="M37" s="142" t="str">
        <f>IF(表6[[#This Row],[字段名称]]&lt;&gt;"","0x"&amp;DEC2HEX(61951+ROW(A37)),"")</f>
        <v>0xF224</v>
      </c>
      <c r="N37" s="142" t="s">
        <v>64</v>
      </c>
    </row>
    <row r="38" ht="27.15" spans="1:14">
      <c r="A38" s="139" t="s">
        <v>134</v>
      </c>
      <c r="B38" s="140" t="s">
        <v>135</v>
      </c>
      <c r="C38" s="140" t="s">
        <v>136</v>
      </c>
      <c r="L38" s="142" t="s">
        <v>21</v>
      </c>
      <c r="M38" s="142" t="str">
        <f>IF(表6[[#This Row],[字段名称]]&lt;&gt;"","0x"&amp;DEC2HEX(61951+ROW(A38)),"")</f>
        <v>0xF225</v>
      </c>
      <c r="N38" s="142" t="s">
        <v>75</v>
      </c>
    </row>
    <row r="39" ht="18.15" spans="1:14">
      <c r="A39" s="141" t="s">
        <v>137</v>
      </c>
      <c r="B39" s="140" t="s">
        <v>138</v>
      </c>
      <c r="C39" s="140" t="s">
        <v>139</v>
      </c>
      <c r="L39" s="142" t="s">
        <v>140</v>
      </c>
      <c r="M39" s="142" t="str">
        <f>IF(表6[[#This Row],[字段名称]]&lt;&gt;"","0x"&amp;DEC2HEX(61951+ROW(A39)),"")</f>
        <v>0xF226</v>
      </c>
      <c r="N39" s="142" t="s">
        <v>74</v>
      </c>
    </row>
    <row r="40" ht="18.15" spans="1:14">
      <c r="A40" s="141" t="s">
        <v>141</v>
      </c>
      <c r="B40" s="140" t="s">
        <v>142</v>
      </c>
      <c r="C40" s="140" t="s">
        <v>143</v>
      </c>
      <c r="L40" s="142" t="s">
        <v>144</v>
      </c>
      <c r="M40" s="142" t="str">
        <f>IF(表6[[#This Row],[字段名称]]&lt;&gt;"","0x"&amp;DEC2HEX(61951+ROW(A40)),"")</f>
        <v>0xF227</v>
      </c>
      <c r="N40" s="142" t="s">
        <v>145</v>
      </c>
    </row>
    <row r="41" ht="18.15" spans="1:14">
      <c r="A41" s="139" t="s">
        <v>146</v>
      </c>
      <c r="B41" s="140" t="s">
        <v>147</v>
      </c>
      <c r="C41" s="140" t="s">
        <v>139</v>
      </c>
      <c r="L41" s="142" t="s">
        <v>148</v>
      </c>
      <c r="M41" s="142" t="str">
        <f>IF(表6[[#This Row],[字段名称]]&lt;&gt;"","0x"&amp;DEC2HEX(61951+ROW(A41)),"")</f>
        <v>0xF228</v>
      </c>
      <c r="N41" s="142" t="s">
        <v>149</v>
      </c>
    </row>
    <row r="42" ht="18.15" spans="1:14">
      <c r="A42" s="139" t="s">
        <v>150</v>
      </c>
      <c r="B42" s="140" t="s">
        <v>151</v>
      </c>
      <c r="C42" s="140" t="s">
        <v>139</v>
      </c>
      <c r="L42" s="142" t="s">
        <v>152</v>
      </c>
      <c r="M42" s="142" t="str">
        <f>IF(表6[[#This Row],[字段名称]]&lt;&gt;"","0x"&amp;DEC2HEX(61951+ROW(A42)),"")</f>
        <v>0xF229</v>
      </c>
      <c r="N42" s="142" t="s">
        <v>75</v>
      </c>
    </row>
    <row r="43" ht="18.15" spans="1:14">
      <c r="A43" s="139" t="s">
        <v>153</v>
      </c>
      <c r="B43" s="140" t="s">
        <v>154</v>
      </c>
      <c r="C43" s="140">
        <v>4</v>
      </c>
      <c r="L43" s="142" t="s">
        <v>155</v>
      </c>
      <c r="M43" s="142" t="str">
        <f>IF(表6[[#This Row],[字段名称]]&lt;&gt;"","0x"&amp;DEC2HEX(61951+ROW(A43)),"")</f>
        <v>0xF22A</v>
      </c>
      <c r="N43" s="142" t="s">
        <v>21</v>
      </c>
    </row>
    <row r="44" ht="27.15" spans="1:14">
      <c r="A44" s="139" t="s">
        <v>156</v>
      </c>
      <c r="B44" s="140" t="s">
        <v>157</v>
      </c>
      <c r="C44" s="140" t="s">
        <v>158</v>
      </c>
      <c r="L44" s="142" t="s">
        <v>159</v>
      </c>
      <c r="M44" s="142" t="str">
        <f>IF(表6[[#This Row],[字段名称]]&lt;&gt;"","0x"&amp;DEC2HEX(61951+ROW(A44)),"")</f>
        <v>0xF22B</v>
      </c>
      <c r="N44" s="142" t="s">
        <v>53</v>
      </c>
    </row>
    <row r="45" ht="18.15" spans="1:14">
      <c r="A45" s="139" t="s">
        <v>160</v>
      </c>
      <c r="B45" s="140" t="s">
        <v>161</v>
      </c>
      <c r="C45" s="140" t="s">
        <v>162</v>
      </c>
      <c r="L45" s="142" t="s">
        <v>163</v>
      </c>
      <c r="M45" s="142" t="str">
        <f>IF(表6[[#This Row],[字段名称]]&lt;&gt;"","0x"&amp;DEC2HEX(61951+ROW(A45)),"")</f>
        <v>0xF22C</v>
      </c>
      <c r="N45" s="142" t="s">
        <v>164</v>
      </c>
    </row>
    <row r="46" ht="18.15" spans="1:14">
      <c r="A46" s="141" t="s">
        <v>165</v>
      </c>
      <c r="B46" s="140" t="s">
        <v>166</v>
      </c>
      <c r="C46" s="140">
        <v>4</v>
      </c>
      <c r="L46" s="142" t="s">
        <v>167</v>
      </c>
      <c r="M46" s="142" t="str">
        <f>IF(表6[[#This Row],[字段名称]]&lt;&gt;"","0x"&amp;DEC2HEX(61951+ROW(A46)),"")</f>
        <v>0xF22D</v>
      </c>
      <c r="N46" s="142" t="s">
        <v>168</v>
      </c>
    </row>
    <row r="47" ht="18.15" spans="1:14">
      <c r="A47" s="139" t="s">
        <v>169</v>
      </c>
      <c r="B47" s="140" t="s">
        <v>170</v>
      </c>
      <c r="C47" s="140" t="s">
        <v>171</v>
      </c>
      <c r="L47" s="142" t="s">
        <v>172</v>
      </c>
      <c r="M47" s="142" t="str">
        <f>IF(表6[[#This Row],[字段名称]]&lt;&gt;"","0x"&amp;DEC2HEX(61951+ROW(A47)),"")</f>
        <v>0xF22E</v>
      </c>
      <c r="N47" s="142" t="s">
        <v>173</v>
      </c>
    </row>
    <row r="48" ht="18.15" spans="1:14">
      <c r="A48" s="139" t="s">
        <v>100</v>
      </c>
      <c r="B48" s="140" t="s">
        <v>174</v>
      </c>
      <c r="C48" s="140">
        <v>4</v>
      </c>
      <c r="L48" s="142" t="s">
        <v>175</v>
      </c>
      <c r="M48" s="142" t="str">
        <f>IF(表6[[#This Row],[字段名称]]&lt;&gt;"","0x"&amp;DEC2HEX(61951+ROW(A48)),"")</f>
        <v>0xF22F</v>
      </c>
      <c r="N48" s="142" t="s">
        <v>176</v>
      </c>
    </row>
    <row r="49" ht="27.15" spans="1:14">
      <c r="A49" s="139" t="s">
        <v>47</v>
      </c>
      <c r="B49" s="140" t="s">
        <v>177</v>
      </c>
      <c r="C49" s="140" t="s">
        <v>178</v>
      </c>
      <c r="L49" s="142" t="s">
        <v>179</v>
      </c>
      <c r="M49" s="142" t="str">
        <f>IF(表6[[#This Row],[字段名称]]&lt;&gt;"","0x"&amp;DEC2HEX(61951+ROW(A49)),"")</f>
        <v>0xF230</v>
      </c>
      <c r="N49" s="142" t="s">
        <v>149</v>
      </c>
    </row>
    <row r="50" ht="27.15" spans="1:14">
      <c r="A50" s="139" t="s">
        <v>56</v>
      </c>
      <c r="B50" s="140" t="s">
        <v>180</v>
      </c>
      <c r="C50" s="140" t="s">
        <v>181</v>
      </c>
      <c r="L50" s="142" t="s">
        <v>182</v>
      </c>
      <c r="M50" s="142" t="str">
        <f>IF(表6[[#This Row],[字段名称]]&lt;&gt;"","0x"&amp;DEC2HEX(61951+ROW(A50)),"")</f>
        <v>0xF231</v>
      </c>
      <c r="N50" s="142" t="s">
        <v>183</v>
      </c>
    </row>
    <row r="51" ht="18.15" spans="1:14">
      <c r="A51" s="139" t="s">
        <v>184</v>
      </c>
      <c r="B51" s="140" t="s">
        <v>185</v>
      </c>
      <c r="C51" s="140" t="s">
        <v>186</v>
      </c>
      <c r="L51" s="142" t="s">
        <v>187</v>
      </c>
      <c r="M51" s="142" t="str">
        <f>IF(表6[[#This Row],[字段名称]]&lt;&gt;"","0x"&amp;DEC2HEX(61951+ROW(A51)),"")</f>
        <v>0xF232</v>
      </c>
      <c r="N51" s="142" t="s">
        <v>188</v>
      </c>
    </row>
    <row r="52" ht="18.15" spans="1:14">
      <c r="A52" s="139" t="s">
        <v>189</v>
      </c>
      <c r="B52" s="140" t="s">
        <v>190</v>
      </c>
      <c r="C52" s="140">
        <v>8</v>
      </c>
      <c r="L52" s="142" t="s">
        <v>191</v>
      </c>
      <c r="M52" s="142" t="str">
        <f>IF(表6[[#This Row],[字段名称]]&lt;&gt;"","0x"&amp;DEC2HEX(61951+ROW(A52)),"")</f>
        <v>0xF233</v>
      </c>
      <c r="N52" s="142" t="s">
        <v>192</v>
      </c>
    </row>
    <row r="53" ht="18.15" spans="1:14">
      <c r="A53" s="139" t="s">
        <v>130</v>
      </c>
      <c r="B53" s="140" t="s">
        <v>193</v>
      </c>
      <c r="C53" s="140">
        <v>1</v>
      </c>
      <c r="L53" s="142" t="s">
        <v>160</v>
      </c>
      <c r="M53" s="142" t="str">
        <f>IF(表6[[#This Row],[字段名称]]&lt;&gt;"","0x"&amp;DEC2HEX(61951+ROW(A53)),"")</f>
        <v>0xF234</v>
      </c>
      <c r="N53" s="142" t="s">
        <v>75</v>
      </c>
    </row>
    <row r="54" ht="18.15" spans="1:14">
      <c r="A54" s="139" t="s">
        <v>125</v>
      </c>
      <c r="B54" s="140" t="s">
        <v>194</v>
      </c>
      <c r="C54" s="140" t="s">
        <v>195</v>
      </c>
      <c r="L54" s="142" t="s">
        <v>196</v>
      </c>
      <c r="M54" s="142" t="str">
        <f>IF(表6[[#This Row],[字段名称]]&lt;&gt;"","0x"&amp;DEC2HEX(61951+ROW(A54)),"")</f>
        <v>0xF235</v>
      </c>
      <c r="N54" s="142" t="s">
        <v>75</v>
      </c>
    </row>
    <row r="55" ht="18.15" spans="1:14">
      <c r="A55" s="139" t="s">
        <v>197</v>
      </c>
      <c r="B55" s="140" t="s">
        <v>198</v>
      </c>
      <c r="C55" s="140">
        <v>8</v>
      </c>
      <c r="L55" s="142" t="s">
        <v>173</v>
      </c>
      <c r="M55" s="142" t="str">
        <f>IF(表6[[#This Row],[字段名称]]&lt;&gt;"","0x"&amp;DEC2HEX(61951+ROW(A55)),"")</f>
        <v>0xF236</v>
      </c>
      <c r="N55" s="142" t="s">
        <v>75</v>
      </c>
    </row>
    <row r="56" ht="18.15" spans="1:14">
      <c r="A56" s="139" t="s">
        <v>91</v>
      </c>
      <c r="B56" s="140" t="s">
        <v>199</v>
      </c>
      <c r="C56" s="140" t="s">
        <v>143</v>
      </c>
      <c r="L56" s="142" t="s">
        <v>200</v>
      </c>
      <c r="M56" s="142" t="str">
        <f>IF(表6[[#This Row],[字段名称]]&lt;&gt;"","0x"&amp;DEC2HEX(61951+ROW(A56)),"")</f>
        <v>0xF237</v>
      </c>
      <c r="N56" s="142" t="s">
        <v>201</v>
      </c>
    </row>
    <row r="57" ht="18.15" spans="1:14">
      <c r="A57" s="139" t="s">
        <v>202</v>
      </c>
      <c r="B57" s="140" t="s">
        <v>203</v>
      </c>
      <c r="C57" s="140">
        <v>8</v>
      </c>
      <c r="L57" s="142" t="s">
        <v>204</v>
      </c>
      <c r="M57" s="142" t="str">
        <f>IF(表6[[#This Row],[字段名称]]&lt;&gt;"","0x"&amp;DEC2HEX(61951+ROW(A57)),"")</f>
        <v>0xF238</v>
      </c>
      <c r="N57" s="142" t="s">
        <v>149</v>
      </c>
    </row>
    <row r="58" ht="18.15" spans="1:14">
      <c r="A58" s="139" t="s">
        <v>205</v>
      </c>
      <c r="B58" s="140" t="s">
        <v>206</v>
      </c>
      <c r="C58" s="140">
        <v>24</v>
      </c>
      <c r="L58" s="142" t="s">
        <v>207</v>
      </c>
      <c r="M58" s="142" t="str">
        <f>IF(表6[[#This Row],[字段名称]]&lt;&gt;"","0x"&amp;DEC2HEX(61951+ROW(A58)),"")</f>
        <v>0xF239</v>
      </c>
      <c r="N58" s="142" t="s">
        <v>74</v>
      </c>
    </row>
    <row r="59" ht="40.35" spans="1:14">
      <c r="A59" s="139" t="s">
        <v>208</v>
      </c>
      <c r="B59" s="140" t="s">
        <v>209</v>
      </c>
      <c r="C59" s="140" t="s">
        <v>210</v>
      </c>
      <c r="L59" s="142" t="s">
        <v>211</v>
      </c>
      <c r="M59" s="142" t="str">
        <f>IF(表6[[#This Row],[字段名称]]&lt;&gt;"","0x"&amp;DEC2HEX(61951+ROW(A63)),"")</f>
        <v>0xF23E</v>
      </c>
      <c r="N59" s="142" t="s">
        <v>53</v>
      </c>
    </row>
    <row r="60" ht="18.15" spans="1:14">
      <c r="A60" s="139" t="s">
        <v>212</v>
      </c>
      <c r="B60" s="140" t="s">
        <v>213</v>
      </c>
      <c r="C60" s="144" t="s">
        <v>212</v>
      </c>
      <c r="L60" s="142" t="s">
        <v>214</v>
      </c>
      <c r="M60" s="142" t="str">
        <f>IF(表6[[#This Row],[字段名称]]&lt;&gt;"","0x"&amp;DEC2HEX(61951+ROW(A69)),"")</f>
        <v>0xF244</v>
      </c>
      <c r="N60" s="142" t="s">
        <v>53</v>
      </c>
    </row>
    <row r="61" ht="18.15" spans="1:14">
      <c r="A61" s="139" t="s">
        <v>10</v>
      </c>
      <c r="B61" s="140" t="s">
        <v>215</v>
      </c>
      <c r="C61" s="144">
        <v>1</v>
      </c>
      <c r="L61" s="142" t="s">
        <v>216</v>
      </c>
      <c r="M61" s="142" t="str">
        <f>IF(表6[[#This Row],[字段名称]]&lt;&gt;"","0x"&amp;DEC2HEX(61951+ROW(A70)),"")</f>
        <v>0xF245</v>
      </c>
      <c r="N61" s="142" t="s">
        <v>217</v>
      </c>
    </row>
    <row r="62" ht="27.15" spans="1:14">
      <c r="A62" s="139" t="s">
        <v>117</v>
      </c>
      <c r="B62" s="140" t="s">
        <v>218</v>
      </c>
      <c r="C62" s="140" t="s">
        <v>219</v>
      </c>
      <c r="L62" s="142" t="s">
        <v>220</v>
      </c>
      <c r="M62" s="142" t="str">
        <f>IF(表6[[#This Row],[字段名称]]&lt;&gt;"","0x"&amp;DEC2HEX(61951+ROW(A71)),"")</f>
        <v>0xF246</v>
      </c>
      <c r="N62" s="142" t="s">
        <v>188</v>
      </c>
    </row>
    <row r="63" ht="14.55" spans="1:3">
      <c r="A63" s="139" t="s">
        <v>221</v>
      </c>
      <c r="B63" s="140" t="s">
        <v>222</v>
      </c>
      <c r="C63" s="144" t="s">
        <v>223</v>
      </c>
    </row>
    <row r="64" ht="27.15" spans="1:3">
      <c r="A64" s="139" t="s">
        <v>224</v>
      </c>
      <c r="B64" s="140" t="s">
        <v>225</v>
      </c>
      <c r="C64" s="140" t="s">
        <v>226</v>
      </c>
    </row>
    <row r="67" spans="13:14">
      <c r="M67" s="134" t="s">
        <v>81</v>
      </c>
      <c r="N67" s="134" t="s">
        <v>82</v>
      </c>
    </row>
    <row r="68" ht="18.15" spans="12:14">
      <c r="L68" s="139" t="s">
        <v>84</v>
      </c>
      <c r="M68" s="134" t="s">
        <v>62</v>
      </c>
      <c r="N68" s="134" t="s">
        <v>85</v>
      </c>
    </row>
    <row r="69" ht="18.15" spans="12:14">
      <c r="L69" s="139" t="s">
        <v>87</v>
      </c>
      <c r="M69" s="134" t="s">
        <v>66</v>
      </c>
      <c r="N69" s="134">
        <v>4</v>
      </c>
    </row>
    <row r="70" ht="18.15" spans="12:14">
      <c r="L70" s="139" t="s">
        <v>89</v>
      </c>
      <c r="M70" s="134" t="s">
        <v>90</v>
      </c>
      <c r="N70" s="134">
        <v>4</v>
      </c>
    </row>
    <row r="71" ht="18.15" spans="12:14">
      <c r="L71" s="139" t="s">
        <v>92</v>
      </c>
      <c r="M71" s="134" t="s">
        <v>93</v>
      </c>
      <c r="N71" s="134">
        <v>4</v>
      </c>
    </row>
    <row r="72" ht="18.15" spans="12:14">
      <c r="L72" s="139" t="s">
        <v>95</v>
      </c>
      <c r="M72" s="134" t="s">
        <v>96</v>
      </c>
      <c r="N72" s="134">
        <v>1</v>
      </c>
    </row>
    <row r="73" ht="18.15" spans="12:14">
      <c r="L73" s="139" t="s">
        <v>98</v>
      </c>
      <c r="M73" s="134" t="s">
        <v>99</v>
      </c>
      <c r="N73" s="134" t="s">
        <v>85</v>
      </c>
    </row>
    <row r="74" ht="18.15" spans="12:14">
      <c r="L74" s="139" t="s">
        <v>101</v>
      </c>
      <c r="M74" s="134" t="s">
        <v>102</v>
      </c>
      <c r="N74" s="134" t="s">
        <v>85</v>
      </c>
    </row>
    <row r="75" ht="18.15" spans="12:14">
      <c r="L75" s="141" t="s">
        <v>105</v>
      </c>
      <c r="M75" s="134" t="s">
        <v>106</v>
      </c>
      <c r="N75" s="134" t="s">
        <v>107</v>
      </c>
    </row>
    <row r="76" ht="18.15" spans="12:14">
      <c r="L76" s="141" t="s">
        <v>110</v>
      </c>
      <c r="M76" s="134" t="s">
        <v>111</v>
      </c>
      <c r="N76" s="134" t="s">
        <v>227</v>
      </c>
    </row>
    <row r="77" ht="18.15" spans="12:14">
      <c r="L77" s="139" t="s">
        <v>115</v>
      </c>
      <c r="M77" s="134" t="s">
        <v>116</v>
      </c>
      <c r="N77" s="134">
        <v>1</v>
      </c>
    </row>
    <row r="78" ht="18.15" spans="12:14">
      <c r="L78" s="139" t="s">
        <v>119</v>
      </c>
      <c r="M78" s="134" t="s">
        <v>120</v>
      </c>
      <c r="N78" s="134">
        <v>1</v>
      </c>
    </row>
    <row r="79" ht="18.15" spans="12:14">
      <c r="L79" s="141" t="s">
        <v>122</v>
      </c>
      <c r="M79" s="134" t="s">
        <v>123</v>
      </c>
      <c r="N79" s="134" t="s">
        <v>124</v>
      </c>
    </row>
    <row r="80" ht="18.15" spans="12:14">
      <c r="L80" s="141" t="s">
        <v>127</v>
      </c>
      <c r="M80" s="134" t="s">
        <v>128</v>
      </c>
      <c r="N80" s="134" t="s">
        <v>228</v>
      </c>
    </row>
    <row r="81" ht="18.15" spans="12:14">
      <c r="L81" s="141" t="s">
        <v>86</v>
      </c>
      <c r="M81" s="134" t="s">
        <v>132</v>
      </c>
      <c r="N81" s="134">
        <v>8</v>
      </c>
    </row>
    <row r="82" ht="18.15" spans="12:14">
      <c r="L82" s="139" t="s">
        <v>134</v>
      </c>
      <c r="M82" s="134" t="s">
        <v>135</v>
      </c>
      <c r="N82" s="134" t="s">
        <v>229</v>
      </c>
    </row>
    <row r="83" ht="18.15" spans="12:14">
      <c r="L83" s="141" t="s">
        <v>137</v>
      </c>
      <c r="M83" s="134" t="s">
        <v>138</v>
      </c>
      <c r="N83" s="134" t="s">
        <v>139</v>
      </c>
    </row>
    <row r="84" ht="18.15" spans="12:14">
      <c r="L84" s="141" t="s">
        <v>141</v>
      </c>
      <c r="M84" s="134" t="s">
        <v>142</v>
      </c>
      <c r="N84" s="134" t="s">
        <v>143</v>
      </c>
    </row>
    <row r="85" ht="18.15" spans="12:14">
      <c r="L85" s="139" t="s">
        <v>146</v>
      </c>
      <c r="M85" s="134" t="s">
        <v>147</v>
      </c>
      <c r="N85" s="134" t="s">
        <v>139</v>
      </c>
    </row>
    <row r="86" ht="18.15" spans="12:14">
      <c r="L86" s="139" t="s">
        <v>150</v>
      </c>
      <c r="M86" s="134" t="s">
        <v>151</v>
      </c>
      <c r="N86" s="134" t="s">
        <v>139</v>
      </c>
    </row>
    <row r="87" ht="18.15" spans="12:14">
      <c r="L87" s="139" t="s">
        <v>153</v>
      </c>
      <c r="M87" s="134" t="s">
        <v>154</v>
      </c>
      <c r="N87" s="134">
        <v>4</v>
      </c>
    </row>
    <row r="88" ht="18.15" spans="12:14">
      <c r="L88" s="139" t="s">
        <v>156</v>
      </c>
      <c r="M88" s="134" t="s">
        <v>157</v>
      </c>
      <c r="N88" s="134" t="s">
        <v>230</v>
      </c>
    </row>
    <row r="89" ht="18.15" spans="12:14">
      <c r="L89" s="139" t="s">
        <v>160</v>
      </c>
      <c r="M89" s="134" t="s">
        <v>161</v>
      </c>
      <c r="N89" s="134" t="s">
        <v>162</v>
      </c>
    </row>
    <row r="90" ht="18.15" spans="12:14">
      <c r="L90" s="141" t="s">
        <v>165</v>
      </c>
      <c r="M90" s="134" t="s">
        <v>166</v>
      </c>
      <c r="N90" s="134">
        <v>4</v>
      </c>
    </row>
    <row r="91" ht="18.15" spans="12:14">
      <c r="L91" s="139" t="s">
        <v>169</v>
      </c>
      <c r="M91" s="134" t="s">
        <v>170</v>
      </c>
      <c r="N91" s="134" t="s">
        <v>171</v>
      </c>
    </row>
    <row r="92" ht="18.15" spans="12:14">
      <c r="L92" s="139" t="s">
        <v>100</v>
      </c>
      <c r="M92" s="134" t="s">
        <v>174</v>
      </c>
      <c r="N92" s="134">
        <v>4</v>
      </c>
    </row>
    <row r="93" ht="18.15" spans="12:14">
      <c r="L93" s="139" t="s">
        <v>47</v>
      </c>
      <c r="M93" s="134" t="s">
        <v>177</v>
      </c>
      <c r="N93" s="134" t="s">
        <v>231</v>
      </c>
    </row>
    <row r="94" ht="18.15" spans="12:14">
      <c r="L94" s="139" t="s">
        <v>56</v>
      </c>
      <c r="M94" s="134" t="s">
        <v>180</v>
      </c>
      <c r="N94" s="134" t="s">
        <v>232</v>
      </c>
    </row>
    <row r="95" ht="18.15" spans="12:14">
      <c r="L95" s="139" t="s">
        <v>184</v>
      </c>
      <c r="M95" s="134" t="s">
        <v>185</v>
      </c>
      <c r="N95" s="134" t="s">
        <v>186</v>
      </c>
    </row>
    <row r="96" ht="18.15" spans="12:14">
      <c r="L96" s="139" t="s">
        <v>189</v>
      </c>
      <c r="M96" s="134" t="s">
        <v>190</v>
      </c>
      <c r="N96" s="134">
        <v>8</v>
      </c>
    </row>
    <row r="97" ht="18.15" spans="12:14">
      <c r="L97" s="139" t="s">
        <v>130</v>
      </c>
      <c r="M97" s="134" t="s">
        <v>193</v>
      </c>
      <c r="N97" s="134">
        <v>1</v>
      </c>
    </row>
    <row r="98" ht="18.15" spans="12:14">
      <c r="L98" s="139" t="s">
        <v>125</v>
      </c>
      <c r="M98" s="134" t="s">
        <v>194</v>
      </c>
      <c r="N98" s="134" t="s">
        <v>195</v>
      </c>
    </row>
    <row r="99" ht="18.15" spans="12:14">
      <c r="L99" s="139" t="s">
        <v>197</v>
      </c>
      <c r="M99" s="134" t="s">
        <v>198</v>
      </c>
      <c r="N99" s="134">
        <v>8</v>
      </c>
    </row>
    <row r="100" ht="18.15" spans="12:14">
      <c r="L100" s="139" t="s">
        <v>91</v>
      </c>
      <c r="M100" s="134" t="s">
        <v>199</v>
      </c>
      <c r="N100" s="134" t="s">
        <v>143</v>
      </c>
    </row>
    <row r="101" ht="18.15" spans="12:14">
      <c r="L101" s="139" t="s">
        <v>202</v>
      </c>
      <c r="M101" s="134" t="s">
        <v>203</v>
      </c>
      <c r="N101" s="134">
        <v>8</v>
      </c>
    </row>
    <row r="102" ht="18.15" spans="12:14">
      <c r="L102" s="139" t="s">
        <v>205</v>
      </c>
      <c r="M102" s="134" t="s">
        <v>206</v>
      </c>
      <c r="N102" s="134">
        <v>24</v>
      </c>
    </row>
    <row r="103" ht="18.15" spans="12:14">
      <c r="L103" s="139" t="s">
        <v>208</v>
      </c>
      <c r="M103" s="134" t="s">
        <v>209</v>
      </c>
      <c r="N103" s="134" t="s">
        <v>233</v>
      </c>
    </row>
    <row r="104" ht="18.15" spans="12:14">
      <c r="L104" s="139" t="s">
        <v>212</v>
      </c>
      <c r="M104" s="134" t="s">
        <v>213</v>
      </c>
      <c r="N104" s="134" t="s">
        <v>212</v>
      </c>
    </row>
    <row r="105" ht="18.15" spans="12:14">
      <c r="L105" s="139" t="s">
        <v>10</v>
      </c>
      <c r="M105" s="134" t="s">
        <v>215</v>
      </c>
      <c r="N105" s="134">
        <v>1</v>
      </c>
    </row>
    <row r="106" ht="18.15" spans="12:14">
      <c r="L106" s="139" t="s">
        <v>117</v>
      </c>
      <c r="M106" s="134" t="s">
        <v>218</v>
      </c>
      <c r="N106" s="134" t="s">
        <v>234</v>
      </c>
    </row>
    <row r="107" ht="18.15" spans="12:14">
      <c r="L107" s="139" t="s">
        <v>221</v>
      </c>
      <c r="M107" s="134" t="s">
        <v>222</v>
      </c>
      <c r="N107" s="134" t="s">
        <v>235</v>
      </c>
    </row>
    <row r="108" ht="18.15" spans="12:14">
      <c r="L108" s="139" t="s">
        <v>224</v>
      </c>
      <c r="M108" s="134" t="s">
        <v>225</v>
      </c>
      <c r="N108" s="134" t="s">
        <v>236</v>
      </c>
    </row>
  </sheetData>
  <conditionalFormatting sqref="L$1:L$1048576">
    <cfRule type="duplicateValues" dxfId="5" priority="1"/>
  </conditionalFormatting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B20"/>
  <sheetViews>
    <sheetView topLeftCell="A16" workbookViewId="0">
      <selection activeCell="B20" sqref="B20"/>
    </sheetView>
  </sheetViews>
  <sheetFormatPr defaultColWidth="9" defaultRowHeight="15.6" outlineLevelCol="1"/>
  <cols>
    <col min="1" max="1" width="15" style="129" customWidth="1"/>
    <col min="2" max="2" width="104.87962962963" style="129" customWidth="1"/>
    <col min="3" max="16384" width="9" style="129"/>
  </cols>
  <sheetData>
    <row r="5" ht="139.2" spans="1:2">
      <c r="A5" s="130">
        <v>45320</v>
      </c>
      <c r="B5" s="131" t="s">
        <v>237</v>
      </c>
    </row>
    <row r="6" ht="156" customHeight="1" spans="1:2">
      <c r="A6" s="130">
        <v>45346</v>
      </c>
      <c r="B6" s="132" t="s">
        <v>238</v>
      </c>
    </row>
    <row r="7" ht="69.6" spans="1:2">
      <c r="A7" s="130">
        <v>45377</v>
      </c>
      <c r="B7" s="131" t="s">
        <v>239</v>
      </c>
    </row>
    <row r="8" ht="52.2" spans="1:2">
      <c r="A8" s="130">
        <v>45391</v>
      </c>
      <c r="B8" s="131" t="s">
        <v>240</v>
      </c>
    </row>
    <row r="9" ht="156.6" spans="1:2">
      <c r="A9" s="130">
        <v>45440</v>
      </c>
      <c r="B9" s="133" t="s">
        <v>241</v>
      </c>
    </row>
    <row r="10" ht="121.8" spans="1:2">
      <c r="A10" s="130">
        <v>45457</v>
      </c>
      <c r="B10" s="131" t="s">
        <v>242</v>
      </c>
    </row>
    <row r="11" ht="121.8" spans="1:2">
      <c r="A11" s="130">
        <v>45461</v>
      </c>
      <c r="B11" s="133" t="s">
        <v>243</v>
      </c>
    </row>
    <row r="12" ht="174" spans="1:2">
      <c r="A12" s="133">
        <v>45527</v>
      </c>
      <c r="B12" s="133" t="s">
        <v>244</v>
      </c>
    </row>
    <row r="13" ht="174" spans="1:2">
      <c r="A13" s="130">
        <v>45593</v>
      </c>
      <c r="B13" s="132" t="s">
        <v>245</v>
      </c>
    </row>
    <row r="14" ht="156.6" spans="1:2">
      <c r="A14" s="130">
        <v>45596</v>
      </c>
      <c r="B14" s="132" t="s">
        <v>246</v>
      </c>
    </row>
    <row r="15" ht="156.6" spans="1:2">
      <c r="A15" s="130">
        <v>45600</v>
      </c>
      <c r="B15" s="132" t="s">
        <v>247</v>
      </c>
    </row>
    <row r="16" ht="52.2" spans="1:2">
      <c r="A16" s="130">
        <v>45603</v>
      </c>
      <c r="B16" s="132" t="s">
        <v>248</v>
      </c>
    </row>
    <row r="17" ht="52.2" spans="1:2">
      <c r="A17" s="130">
        <v>45608</v>
      </c>
      <c r="B17" s="132" t="s">
        <v>249</v>
      </c>
    </row>
    <row r="18" ht="174" spans="1:2">
      <c r="A18" s="130">
        <v>45664</v>
      </c>
      <c r="B18" s="132" t="s">
        <v>250</v>
      </c>
    </row>
    <row r="19" ht="34.8" spans="1:2">
      <c r="A19" s="130">
        <v>45712</v>
      </c>
      <c r="B19" s="132" t="s">
        <v>251</v>
      </c>
    </row>
    <row r="20" ht="34.8" spans="1:2">
      <c r="A20" s="130">
        <v>45729</v>
      </c>
      <c r="B20" s="132" t="s">
        <v>252</v>
      </c>
    </row>
  </sheetData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drawing r:id="rId1"/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34"/>
  <sheetViews>
    <sheetView zoomScale="115" zoomScaleNormal="115" workbookViewId="0">
      <selection activeCell="B15" sqref="B15"/>
    </sheetView>
  </sheetViews>
  <sheetFormatPr defaultColWidth="9" defaultRowHeight="15.6"/>
  <cols>
    <col min="1" max="1" width="9" style="3"/>
    <col min="2" max="2" width="29.3796296296296" style="3" customWidth="1"/>
    <col min="3" max="3" width="9.75" style="3" customWidth="1"/>
    <col min="4" max="4" width="22.8796296296296" style="3" customWidth="1"/>
    <col min="5" max="5" width="20.25" style="3" customWidth="1"/>
    <col min="6" max="6" width="40.5" style="3" customWidth="1"/>
    <col min="7" max="7" width="10.1296296296296" style="3" hidden="1" customWidth="1"/>
    <col min="8" max="8" width="18" style="3" hidden="1" customWidth="1"/>
    <col min="9" max="9" width="26.6296296296296" style="3" customWidth="1"/>
    <col min="10" max="16384" width="9" style="3"/>
  </cols>
  <sheetData>
    <row r="3" spans="2:4">
      <c r="B3" s="27" t="s">
        <v>109</v>
      </c>
      <c r="C3" s="27"/>
      <c r="D3" s="27"/>
    </row>
    <row r="4" spans="2:9">
      <c r="B4" s="3" t="s">
        <v>253</v>
      </c>
      <c r="C4" s="3" t="s">
        <v>254</v>
      </c>
      <c r="D4" s="3" t="s">
        <v>255</v>
      </c>
      <c r="E4" s="3" t="s">
        <v>256</v>
      </c>
      <c r="F4" s="3" t="s">
        <v>257</v>
      </c>
      <c r="G4" s="3" t="s">
        <v>258</v>
      </c>
      <c r="H4" s="3" t="s">
        <v>259</v>
      </c>
      <c r="I4" s="3" t="s">
        <v>260</v>
      </c>
    </row>
    <row r="5" spans="1:8">
      <c r="A5" s="3" t="s">
        <v>261</v>
      </c>
      <c r="B5" s="3" t="s">
        <v>71</v>
      </c>
      <c r="C5" s="118" t="s">
        <v>262</v>
      </c>
      <c r="E5" s="3" t="s">
        <v>53</v>
      </c>
      <c r="G5" s="4" t="s">
        <v>263</v>
      </c>
      <c r="H5" s="4" t="s">
        <v>264</v>
      </c>
    </row>
    <row r="6" spans="1:8">
      <c r="A6" s="3" t="s">
        <v>265</v>
      </c>
      <c r="B6" s="3" t="s">
        <v>72</v>
      </c>
      <c r="C6" s="116" t="s">
        <v>262</v>
      </c>
      <c r="D6" s="3" t="s">
        <v>266</v>
      </c>
      <c r="E6" s="3" t="s">
        <v>53</v>
      </c>
      <c r="G6" s="4"/>
      <c r="H6" s="4"/>
    </row>
    <row r="7" spans="3:8">
      <c r="C7" s="116"/>
      <c r="G7" s="4"/>
      <c r="H7" s="4"/>
    </row>
    <row r="8" spans="3:8">
      <c r="C8" s="116"/>
      <c r="G8" s="4"/>
      <c r="H8" s="4"/>
    </row>
    <row r="9" spans="2:4">
      <c r="B9" s="27" t="s">
        <v>74</v>
      </c>
      <c r="C9" s="27"/>
      <c r="D9" s="27"/>
    </row>
    <row r="10" spans="2:9">
      <c r="B10" s="3" t="s">
        <v>253</v>
      </c>
      <c r="C10" s="3" t="s">
        <v>254</v>
      </c>
      <c r="D10" s="3" t="s">
        <v>255</v>
      </c>
      <c r="E10" s="3" t="s">
        <v>256</v>
      </c>
      <c r="F10" s="3" t="s">
        <v>257</v>
      </c>
      <c r="G10" s="3" t="s">
        <v>258</v>
      </c>
      <c r="H10" s="3" t="s">
        <v>259</v>
      </c>
      <c r="I10" s="3" t="s">
        <v>260</v>
      </c>
    </row>
    <row r="11" spans="1:8">
      <c r="A11" s="3" t="s">
        <v>211</v>
      </c>
      <c r="B11" s="3" t="s">
        <v>211</v>
      </c>
      <c r="C11" s="116" t="s">
        <v>267</v>
      </c>
      <c r="E11" s="3" t="s">
        <v>53</v>
      </c>
      <c r="F11" s="3" t="s">
        <v>268</v>
      </c>
      <c r="G11" s="4" t="s">
        <v>263</v>
      </c>
      <c r="H11" s="4" t="s">
        <v>264</v>
      </c>
    </row>
    <row r="12" ht="46.8" spans="1:8">
      <c r="A12" s="3" t="s">
        <v>269</v>
      </c>
      <c r="B12" s="3" t="s">
        <v>77</v>
      </c>
      <c r="C12" s="116" t="s">
        <v>262</v>
      </c>
      <c r="D12" s="120" t="s">
        <v>270</v>
      </c>
      <c r="E12" s="3" t="s">
        <v>53</v>
      </c>
      <c r="G12" s="4"/>
      <c r="H12" s="4"/>
    </row>
    <row r="13" ht="31.2" spans="1:8">
      <c r="A13" s="3" t="s">
        <v>271</v>
      </c>
      <c r="B13" s="3" t="s">
        <v>76</v>
      </c>
      <c r="C13" s="116" t="s">
        <v>262</v>
      </c>
      <c r="E13" s="3" t="s">
        <v>64</v>
      </c>
      <c r="F13" s="128" t="s">
        <v>272</v>
      </c>
      <c r="G13" s="4"/>
      <c r="H13" s="4"/>
    </row>
    <row r="14" spans="1:8">
      <c r="A14" s="3" t="s">
        <v>273</v>
      </c>
      <c r="B14" s="119" t="s">
        <v>274</v>
      </c>
      <c r="C14" s="116" t="s">
        <v>267</v>
      </c>
      <c r="E14" s="3" t="s">
        <v>64</v>
      </c>
      <c r="F14" s="119" t="s">
        <v>275</v>
      </c>
      <c r="G14" s="4"/>
      <c r="H14" s="4"/>
    </row>
    <row r="15" spans="3:8">
      <c r="C15" s="116"/>
      <c r="G15" s="4"/>
      <c r="H15" s="4"/>
    </row>
    <row r="16" spans="3:8">
      <c r="C16" s="116"/>
      <c r="G16" s="4"/>
      <c r="H16" s="4"/>
    </row>
    <row r="17" spans="2:4">
      <c r="B17" s="27" t="s">
        <v>173</v>
      </c>
      <c r="C17" s="27"/>
      <c r="D17" s="27"/>
    </row>
    <row r="18" spans="1:9">
      <c r="A18" s="3" t="s">
        <v>276</v>
      </c>
      <c r="B18" s="3" t="s">
        <v>253</v>
      </c>
      <c r="C18" s="3" t="s">
        <v>254</v>
      </c>
      <c r="D18" s="3" t="s">
        <v>255</v>
      </c>
      <c r="E18" s="3" t="s">
        <v>256</v>
      </c>
      <c r="F18" s="3" t="s">
        <v>257</v>
      </c>
      <c r="G18" s="3" t="s">
        <v>258</v>
      </c>
      <c r="H18" s="3" t="s">
        <v>259</v>
      </c>
      <c r="I18" s="3" t="s">
        <v>260</v>
      </c>
    </row>
    <row r="19" ht="16.2" spans="1:8">
      <c r="A19" s="3" t="s">
        <v>277</v>
      </c>
      <c r="B19" s="3" t="s">
        <v>155</v>
      </c>
      <c r="C19" s="118" t="s">
        <v>262</v>
      </c>
      <c r="E19" s="117" t="s">
        <v>21</v>
      </c>
      <c r="F19" s="3" t="s">
        <v>278</v>
      </c>
      <c r="G19" s="4" t="s">
        <v>263</v>
      </c>
      <c r="H19" s="4" t="s">
        <v>264</v>
      </c>
    </row>
    <row r="20" ht="16.2" spans="1:8">
      <c r="A20" s="3" t="s">
        <v>279</v>
      </c>
      <c r="B20" s="3" t="s">
        <v>20</v>
      </c>
      <c r="C20" s="116" t="s">
        <v>262</v>
      </c>
      <c r="E20" s="117" t="s">
        <v>21</v>
      </c>
      <c r="G20" s="4"/>
      <c r="H20" s="4"/>
    </row>
    <row r="21" ht="16.2" spans="1:8">
      <c r="A21" s="3" t="s">
        <v>280</v>
      </c>
      <c r="B21" s="3" t="s">
        <v>25</v>
      </c>
      <c r="C21" s="116" t="s">
        <v>262</v>
      </c>
      <c r="E21" s="117" t="s">
        <v>21</v>
      </c>
      <c r="G21" s="4"/>
      <c r="H21" s="4"/>
    </row>
    <row r="22" ht="16.2" spans="1:8">
      <c r="A22" s="3" t="s">
        <v>281</v>
      </c>
      <c r="B22" s="3" t="s">
        <v>29</v>
      </c>
      <c r="C22" s="116" t="s">
        <v>262</v>
      </c>
      <c r="E22" s="117" t="s">
        <v>21</v>
      </c>
      <c r="G22" s="4"/>
      <c r="H22" s="4"/>
    </row>
    <row r="23" ht="16.2" spans="1:8">
      <c r="A23" s="3" t="s">
        <v>269</v>
      </c>
      <c r="B23" s="3" t="s">
        <v>33</v>
      </c>
      <c r="C23" s="116" t="s">
        <v>262</v>
      </c>
      <c r="E23" s="117" t="s">
        <v>21</v>
      </c>
      <c r="G23" s="4"/>
      <c r="H23" s="4"/>
    </row>
    <row r="24" ht="46.8" spans="2:8">
      <c r="B24" s="3" t="s">
        <v>191</v>
      </c>
      <c r="C24" s="116" t="s">
        <v>267</v>
      </c>
      <c r="D24" s="120" t="s">
        <v>282</v>
      </c>
      <c r="E24" s="3" t="s">
        <v>11</v>
      </c>
      <c r="F24" s="3" t="s">
        <v>283</v>
      </c>
      <c r="G24" s="4"/>
      <c r="H24" s="4"/>
    </row>
    <row r="25" spans="3:8">
      <c r="C25" s="116"/>
      <c r="G25" s="4"/>
      <c r="H25" s="4"/>
    </row>
    <row r="27" spans="2:4">
      <c r="B27" s="27" t="s">
        <v>21</v>
      </c>
      <c r="C27" s="27"/>
      <c r="D27" s="27"/>
    </row>
    <row r="28" spans="1:9">
      <c r="A28" s="3" t="s">
        <v>284</v>
      </c>
      <c r="B28" s="3" t="s">
        <v>253</v>
      </c>
      <c r="C28" s="3" t="s">
        <v>254</v>
      </c>
      <c r="D28" s="3" t="s">
        <v>255</v>
      </c>
      <c r="E28" s="3" t="s">
        <v>256</v>
      </c>
      <c r="F28" s="3" t="s">
        <v>257</v>
      </c>
      <c r="G28" s="3" t="s">
        <v>258</v>
      </c>
      <c r="H28" s="3" t="s">
        <v>259</v>
      </c>
      <c r="I28" s="3" t="s">
        <v>260</v>
      </c>
    </row>
    <row r="29" spans="1:9">
      <c r="A29" s="3" t="s">
        <v>285</v>
      </c>
      <c r="B29" s="3" t="s">
        <v>94</v>
      </c>
      <c r="C29" s="118" t="s">
        <v>262</v>
      </c>
      <c r="E29" s="3" t="s">
        <v>16</v>
      </c>
      <c r="F29" s="3" t="s">
        <v>286</v>
      </c>
      <c r="G29" s="4" t="s">
        <v>263</v>
      </c>
      <c r="H29" s="4" t="s">
        <v>264</v>
      </c>
      <c r="I29" s="25">
        <v>120.1231231</v>
      </c>
    </row>
    <row r="30" spans="1:9">
      <c r="A30" s="3" t="s">
        <v>287</v>
      </c>
      <c r="B30" s="3" t="s">
        <v>88</v>
      </c>
      <c r="C30" s="116" t="s">
        <v>262</v>
      </c>
      <c r="E30" s="3" t="s">
        <v>16</v>
      </c>
      <c r="F30" s="3" t="s">
        <v>288</v>
      </c>
      <c r="G30" s="4"/>
      <c r="H30" s="4"/>
      <c r="I30" s="25">
        <v>30.7654521</v>
      </c>
    </row>
    <row r="31" spans="2:9">
      <c r="B31" s="3" t="s">
        <v>15</v>
      </c>
      <c r="C31" s="116" t="s">
        <v>262</v>
      </c>
      <c r="E31" s="3" t="s">
        <v>16</v>
      </c>
      <c r="F31" s="3" t="s">
        <v>289</v>
      </c>
      <c r="G31" s="4"/>
      <c r="H31" s="4"/>
      <c r="I31" s="25">
        <v>60.21</v>
      </c>
    </row>
    <row r="34" spans="2:2">
      <c r="B34" s="3" t="s">
        <v>290</v>
      </c>
    </row>
  </sheetData>
  <dataValidations count="1">
    <dataValidation type="list" allowBlank="1" showInputMessage="1" showErrorMessage="1" sqref="C5:C8 C11:C16 C19:C25 C29:C31">
      <formula1>"必选,可选"</formula1>
    </dataValidation>
  </dataValidations>
  <pageMargins left="0.7" right="0.7" top="0.75" bottom="0.75" header="0.3" footer="0.3"/>
  <pageSetup paperSize="9" orientation="portrait"/>
  <headerFooter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zoomScale="115" zoomScaleNormal="115" topLeftCell="A7" workbookViewId="0">
      <selection activeCell="B16" sqref="B16"/>
    </sheetView>
  </sheetViews>
  <sheetFormatPr defaultColWidth="9" defaultRowHeight="15.6"/>
  <cols>
    <col min="1" max="1" width="10.6296296296296" style="3" customWidth="1"/>
    <col min="2" max="2" width="30.8796296296296" style="3" customWidth="1"/>
    <col min="3" max="3" width="9.75" style="3" customWidth="1"/>
    <col min="4" max="4" width="35.5" style="3" customWidth="1"/>
    <col min="5" max="5" width="25.1296296296296" style="3" customWidth="1"/>
    <col min="6" max="6" width="33.6296296296296" style="3" customWidth="1"/>
    <col min="7" max="7" width="10.1296296296296" style="3" hidden="1" customWidth="1"/>
    <col min="8" max="8" width="18" style="3" hidden="1" customWidth="1"/>
    <col min="9" max="9" width="26.6296296296296" style="3" customWidth="1"/>
    <col min="10" max="16384" width="9" style="3"/>
  </cols>
  <sheetData>
    <row r="1" ht="16.2" spans="2:4">
      <c r="B1" s="115" t="s">
        <v>9</v>
      </c>
      <c r="C1" s="27"/>
      <c r="D1" s="27"/>
    </row>
    <row r="2" spans="2:9">
      <c r="B2" s="3" t="s">
        <v>253</v>
      </c>
      <c r="C2" s="3" t="s">
        <v>254</v>
      </c>
      <c r="D2" s="3" t="s">
        <v>255</v>
      </c>
      <c r="E2" s="3" t="s">
        <v>256</v>
      </c>
      <c r="F2" s="3" t="s">
        <v>257</v>
      </c>
      <c r="G2" s="3" t="s">
        <v>258</v>
      </c>
      <c r="H2" s="3" t="s">
        <v>259</v>
      </c>
      <c r="I2" s="3" t="s">
        <v>260</v>
      </c>
    </row>
    <row r="3" spans="1:9">
      <c r="A3" s="3" t="s">
        <v>133</v>
      </c>
      <c r="B3" s="3" t="s">
        <v>133</v>
      </c>
      <c r="C3" s="116" t="s">
        <v>262</v>
      </c>
      <c r="D3" s="25"/>
      <c r="E3" s="3" t="s">
        <v>64</v>
      </c>
      <c r="G3" s="4"/>
      <c r="H3" s="4"/>
      <c r="I3" s="3" t="s">
        <v>291</v>
      </c>
    </row>
    <row r="4" ht="16.2" spans="1:8">
      <c r="A4" s="3" t="s">
        <v>292</v>
      </c>
      <c r="B4" s="117" t="s">
        <v>108</v>
      </c>
      <c r="C4" s="116" t="s">
        <v>262</v>
      </c>
      <c r="D4" s="25"/>
      <c r="E4" s="117" t="s">
        <v>109</v>
      </c>
      <c r="G4" s="4" t="s">
        <v>263</v>
      </c>
      <c r="H4" s="4" t="s">
        <v>264</v>
      </c>
    </row>
    <row r="5" ht="16.2" spans="1:8">
      <c r="A5" s="3" t="s">
        <v>293</v>
      </c>
      <c r="B5" s="117" t="s">
        <v>140</v>
      </c>
      <c r="C5" s="118" t="s">
        <v>267</v>
      </c>
      <c r="D5" s="25"/>
      <c r="E5" s="117" t="s">
        <v>74</v>
      </c>
      <c r="F5" s="119" t="s">
        <v>294</v>
      </c>
      <c r="G5" s="4"/>
      <c r="H5" s="4"/>
    </row>
    <row r="6" ht="156" spans="1:9">
      <c r="A6" s="3" t="s">
        <v>295</v>
      </c>
      <c r="B6" s="117" t="s">
        <v>163</v>
      </c>
      <c r="C6" s="116" t="s">
        <v>262</v>
      </c>
      <c r="D6" s="122" t="s">
        <v>296</v>
      </c>
      <c r="E6" s="3" t="s">
        <v>53</v>
      </c>
      <c r="F6" s="3" t="s">
        <v>297</v>
      </c>
      <c r="G6" s="4"/>
      <c r="H6" s="4"/>
      <c r="I6" s="120" t="s">
        <v>298</v>
      </c>
    </row>
    <row r="7" ht="16.2" spans="1:8">
      <c r="A7" s="3" t="s">
        <v>299</v>
      </c>
      <c r="B7" s="117" t="s">
        <v>144</v>
      </c>
      <c r="C7" s="118" t="s">
        <v>267</v>
      </c>
      <c r="D7" s="25" t="s">
        <v>300</v>
      </c>
      <c r="E7" s="117" t="s">
        <v>152</v>
      </c>
      <c r="G7" s="4" t="s">
        <v>263</v>
      </c>
      <c r="H7" s="4" t="s">
        <v>264</v>
      </c>
    </row>
    <row r="8" ht="16.2" spans="1:8">
      <c r="A8" s="119" t="s">
        <v>301</v>
      </c>
      <c r="B8" s="123" t="s">
        <v>302</v>
      </c>
      <c r="C8" s="124" t="s">
        <v>262</v>
      </c>
      <c r="D8" s="125" t="s">
        <v>303</v>
      </c>
      <c r="E8" s="123"/>
      <c r="F8" s="119" t="s">
        <v>304</v>
      </c>
      <c r="G8" s="4"/>
      <c r="H8" s="4"/>
    </row>
    <row r="9" ht="109.2" spans="1:9">
      <c r="A9" s="3" t="s">
        <v>305</v>
      </c>
      <c r="B9" s="3" t="s">
        <v>306</v>
      </c>
      <c r="C9" s="118" t="s">
        <v>267</v>
      </c>
      <c r="D9" s="120"/>
      <c r="E9" s="3" t="s">
        <v>53</v>
      </c>
      <c r="F9" s="120" t="s">
        <v>307</v>
      </c>
      <c r="G9" s="126"/>
      <c r="H9" s="126"/>
      <c r="I9" s="120"/>
    </row>
    <row r="12" ht="16.2" spans="2:4">
      <c r="B12" s="115" t="s">
        <v>14</v>
      </c>
      <c r="C12" s="27"/>
      <c r="D12" s="27"/>
    </row>
    <row r="13" spans="2:9">
      <c r="B13" s="3" t="s">
        <v>253</v>
      </c>
      <c r="C13" s="3" t="s">
        <v>254</v>
      </c>
      <c r="D13" s="3" t="s">
        <v>255</v>
      </c>
      <c r="E13" s="3" t="s">
        <v>256</v>
      </c>
      <c r="F13" s="3" t="s">
        <v>257</v>
      </c>
      <c r="G13" s="3" t="s">
        <v>258</v>
      </c>
      <c r="H13" s="3" t="s">
        <v>259</v>
      </c>
      <c r="I13" s="3" t="s">
        <v>260</v>
      </c>
    </row>
    <row r="14" spans="1:8">
      <c r="A14" s="3" t="s">
        <v>37</v>
      </c>
      <c r="B14" s="3" t="s">
        <v>37</v>
      </c>
      <c r="C14" s="116" t="s">
        <v>262</v>
      </c>
      <c r="D14" s="3" t="s">
        <v>308</v>
      </c>
      <c r="E14" s="3" t="s">
        <v>53</v>
      </c>
      <c r="G14" s="4"/>
      <c r="H14" s="4"/>
    </row>
    <row r="15" ht="16.2" spans="1:8">
      <c r="A15" s="3" t="s">
        <v>309</v>
      </c>
      <c r="B15" s="117" t="s">
        <v>207</v>
      </c>
      <c r="C15" s="116" t="s">
        <v>267</v>
      </c>
      <c r="E15" s="117" t="s">
        <v>74</v>
      </c>
      <c r="F15" s="119" t="s">
        <v>310</v>
      </c>
      <c r="G15" s="4"/>
      <c r="H15" s="4"/>
    </row>
    <row r="16" ht="93.6" spans="1:8">
      <c r="A16" s="3" t="s">
        <v>305</v>
      </c>
      <c r="B16" s="3" t="s">
        <v>311</v>
      </c>
      <c r="C16" s="118" t="s">
        <v>267</v>
      </c>
      <c r="D16" s="120"/>
      <c r="E16" s="3" t="s">
        <v>53</v>
      </c>
      <c r="F16" s="120" t="s">
        <v>312</v>
      </c>
      <c r="G16" s="4" t="s">
        <v>263</v>
      </c>
      <c r="H16" s="4" t="s">
        <v>264</v>
      </c>
    </row>
    <row r="19" spans="2:4">
      <c r="B19" s="27" t="s">
        <v>152</v>
      </c>
      <c r="C19" s="27"/>
      <c r="D19" s="27"/>
    </row>
    <row r="20" spans="2:9">
      <c r="B20" s="3" t="s">
        <v>253</v>
      </c>
      <c r="C20" s="3" t="s">
        <v>254</v>
      </c>
      <c r="D20" s="3" t="s">
        <v>255</v>
      </c>
      <c r="E20" s="3" t="s">
        <v>256</v>
      </c>
      <c r="F20" s="3" t="s">
        <v>257</v>
      </c>
      <c r="G20" s="3" t="s">
        <v>258</v>
      </c>
      <c r="H20" s="3" t="s">
        <v>259</v>
      </c>
      <c r="I20" s="3" t="s">
        <v>260</v>
      </c>
    </row>
    <row r="21" spans="1:9">
      <c r="A21" s="3" t="s">
        <v>133</v>
      </c>
      <c r="B21" s="3" t="s">
        <v>133</v>
      </c>
      <c r="C21" s="116" t="s">
        <v>262</v>
      </c>
      <c r="D21" s="25"/>
      <c r="E21" s="3" t="s">
        <v>64</v>
      </c>
      <c r="G21" s="4"/>
      <c r="H21" s="4"/>
      <c r="I21" s="3" t="s">
        <v>291</v>
      </c>
    </row>
    <row r="22" ht="16.2" spans="1:8">
      <c r="A22" s="3" t="s">
        <v>292</v>
      </c>
      <c r="B22" s="117" t="s">
        <v>108</v>
      </c>
      <c r="C22" s="116" t="s">
        <v>262</v>
      </c>
      <c r="D22" s="25"/>
      <c r="E22" s="117" t="s">
        <v>109</v>
      </c>
      <c r="G22" s="4"/>
      <c r="H22" s="4"/>
    </row>
    <row r="23" ht="16.2" spans="1:8">
      <c r="A23" s="3" t="s">
        <v>313</v>
      </c>
      <c r="B23" s="117" t="s">
        <v>175</v>
      </c>
      <c r="C23" s="116" t="s">
        <v>262</v>
      </c>
      <c r="D23" s="25" t="s">
        <v>314</v>
      </c>
      <c r="E23" s="117" t="s">
        <v>196</v>
      </c>
      <c r="F23" s="127" t="s">
        <v>315</v>
      </c>
      <c r="G23" s="4"/>
      <c r="H23" s="4"/>
    </row>
    <row r="26" spans="2:4">
      <c r="B26" s="27" t="s">
        <v>196</v>
      </c>
      <c r="C26" s="27"/>
      <c r="D26" s="27"/>
    </row>
    <row r="27" spans="2:9">
      <c r="B27" s="3" t="s">
        <v>253</v>
      </c>
      <c r="C27" s="3" t="s">
        <v>254</v>
      </c>
      <c r="D27" s="3" t="s">
        <v>255</v>
      </c>
      <c r="E27" s="3" t="s">
        <v>256</v>
      </c>
      <c r="F27" s="3" t="s">
        <v>257</v>
      </c>
      <c r="G27" s="3" t="s">
        <v>258</v>
      </c>
      <c r="H27" s="3" t="s">
        <v>259</v>
      </c>
      <c r="I27" s="3" t="s">
        <v>260</v>
      </c>
    </row>
    <row r="28" spans="1:8">
      <c r="A28" s="3" t="s">
        <v>316</v>
      </c>
      <c r="B28" s="3" t="s">
        <v>214</v>
      </c>
      <c r="C28" s="116" t="s">
        <v>262</v>
      </c>
      <c r="D28" s="25"/>
      <c r="E28" s="3" t="s">
        <v>53</v>
      </c>
      <c r="G28" s="4"/>
      <c r="H28" s="4"/>
    </row>
    <row r="29" ht="16.2" spans="1:8">
      <c r="A29" s="3" t="s">
        <v>317</v>
      </c>
      <c r="B29" s="3" t="s">
        <v>172</v>
      </c>
      <c r="C29" s="116" t="s">
        <v>262</v>
      </c>
      <c r="D29" s="25"/>
      <c r="E29" s="117" t="s">
        <v>173</v>
      </c>
      <c r="G29" s="4"/>
      <c r="H29" s="4"/>
    </row>
  </sheetData>
  <dataValidations count="1">
    <dataValidation type="list" allowBlank="1" showInputMessage="1" showErrorMessage="1" sqref="C3:C9 C14:C16 C21:C23 C28:C29">
      <formula1>"必选,可选"</formula1>
    </dataValidation>
  </dataValidations>
  <pageMargins left="0.7" right="0.7" top="0.75" bottom="0.75" header="0.3" footer="0.3"/>
  <pageSetup paperSize="9" orientation="portrait"/>
  <headerFooter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zoomScale="115" zoomScaleNormal="115" workbookViewId="0">
      <selection activeCell="D19" sqref="D19"/>
    </sheetView>
  </sheetViews>
  <sheetFormatPr defaultColWidth="9" defaultRowHeight="15.6"/>
  <cols>
    <col min="1" max="1" width="9" style="3"/>
    <col min="2" max="2" width="27" style="3" customWidth="1"/>
    <col min="3" max="3" width="9.75" style="3" customWidth="1"/>
    <col min="4" max="4" width="22.8796296296296" style="3" customWidth="1"/>
    <col min="5" max="5" width="20.25" style="3" customWidth="1"/>
    <col min="6" max="6" width="33.6296296296296" style="3" customWidth="1"/>
    <col min="7" max="7" width="10.1296296296296" style="3" hidden="1" customWidth="1"/>
    <col min="8" max="8" width="18" style="3" hidden="1" customWidth="1"/>
    <col min="9" max="9" width="26.6296296296296" style="3" customWidth="1"/>
    <col min="10" max="16384" width="9" style="3"/>
  </cols>
  <sheetData>
    <row r="1" ht="16.2" spans="2:4">
      <c r="B1" s="115" t="s">
        <v>19</v>
      </c>
      <c r="C1" s="27"/>
      <c r="D1" s="27"/>
    </row>
    <row r="2" spans="2:9">
      <c r="B2" s="3" t="s">
        <v>253</v>
      </c>
      <c r="C2" s="3" t="s">
        <v>254</v>
      </c>
      <c r="D2" s="3" t="s">
        <v>255</v>
      </c>
      <c r="E2" s="3" t="s">
        <v>256</v>
      </c>
      <c r="F2" s="3" t="s">
        <v>257</v>
      </c>
      <c r="G2" s="3" t="s">
        <v>258</v>
      </c>
      <c r="H2" s="3" t="s">
        <v>259</v>
      </c>
      <c r="I2" s="3" t="s">
        <v>260</v>
      </c>
    </row>
    <row r="3" ht="16.2" spans="1:8">
      <c r="A3" s="3" t="s">
        <v>293</v>
      </c>
      <c r="B3" s="117" t="s">
        <v>140</v>
      </c>
      <c r="C3" s="116" t="s">
        <v>267</v>
      </c>
      <c r="D3" s="25"/>
      <c r="E3" s="117" t="s">
        <v>74</v>
      </c>
      <c r="F3" s="3" t="s">
        <v>318</v>
      </c>
      <c r="G3" s="4" t="s">
        <v>263</v>
      </c>
      <c r="H3" s="4" t="s">
        <v>264</v>
      </c>
    </row>
    <row r="4" ht="156" spans="1:9">
      <c r="A4" s="3" t="s">
        <v>295</v>
      </c>
      <c r="B4" s="117" t="s">
        <v>163</v>
      </c>
      <c r="C4" s="118" t="s">
        <v>267</v>
      </c>
      <c r="D4" s="122" t="s">
        <v>319</v>
      </c>
      <c r="E4" s="3" t="s">
        <v>53</v>
      </c>
      <c r="F4" s="120" t="s">
        <v>320</v>
      </c>
      <c r="G4" s="4"/>
      <c r="H4" s="4"/>
      <c r="I4" s="120" t="s">
        <v>298</v>
      </c>
    </row>
    <row r="5" ht="16.2" spans="1:8">
      <c r="A5" s="3" t="s">
        <v>299</v>
      </c>
      <c r="B5" s="117" t="s">
        <v>144</v>
      </c>
      <c r="C5" s="118" t="s">
        <v>267</v>
      </c>
      <c r="D5" s="25" t="s">
        <v>300</v>
      </c>
      <c r="E5" s="117" t="s">
        <v>152</v>
      </c>
      <c r="F5" s="3" t="s">
        <v>321</v>
      </c>
      <c r="G5" s="4" t="s">
        <v>263</v>
      </c>
      <c r="H5" s="4" t="s">
        <v>264</v>
      </c>
    </row>
    <row r="6" ht="16.2" spans="1:8">
      <c r="A6" s="119"/>
      <c r="B6" s="123"/>
      <c r="C6" s="124"/>
      <c r="D6" s="125"/>
      <c r="E6" s="117"/>
      <c r="F6" s="119"/>
      <c r="G6" s="4"/>
      <c r="H6" s="4"/>
    </row>
    <row r="9" ht="16.2" spans="2:4">
      <c r="B9" s="115" t="s">
        <v>24</v>
      </c>
      <c r="C9" s="27"/>
      <c r="D9" s="27"/>
    </row>
    <row r="10" spans="1:9">
      <c r="A10" s="3" t="s">
        <v>309</v>
      </c>
      <c r="B10" s="3" t="s">
        <v>253</v>
      </c>
      <c r="C10" s="3" t="s">
        <v>254</v>
      </c>
      <c r="D10" s="3" t="s">
        <v>255</v>
      </c>
      <c r="E10" s="3" t="s">
        <v>256</v>
      </c>
      <c r="F10" s="3" t="s">
        <v>257</v>
      </c>
      <c r="G10" s="3" t="s">
        <v>258</v>
      </c>
      <c r="H10" s="3" t="s">
        <v>259</v>
      </c>
      <c r="I10" s="3" t="s">
        <v>260</v>
      </c>
    </row>
    <row r="11" ht="16.2" spans="1:8">
      <c r="A11" s="3" t="s">
        <v>37</v>
      </c>
      <c r="B11" s="117" t="s">
        <v>207</v>
      </c>
      <c r="C11" s="116" t="s">
        <v>267</v>
      </c>
      <c r="E11" s="117" t="s">
        <v>74</v>
      </c>
      <c r="F11" s="3" t="s">
        <v>322</v>
      </c>
      <c r="G11" s="4"/>
      <c r="H11" s="4"/>
    </row>
    <row r="12" spans="2:8">
      <c r="B12" s="3" t="s">
        <v>37</v>
      </c>
      <c r="C12" s="116" t="s">
        <v>267</v>
      </c>
      <c r="D12" s="3" t="s">
        <v>308</v>
      </c>
      <c r="G12" s="4" t="s">
        <v>263</v>
      </c>
      <c r="H12" s="4" t="s">
        <v>264</v>
      </c>
    </row>
    <row r="15" spans="2:2">
      <c r="B15" s="3" t="s">
        <v>323</v>
      </c>
    </row>
  </sheetData>
  <dataValidations count="1">
    <dataValidation type="list" allowBlank="1" showInputMessage="1" showErrorMessage="1" sqref="C3:C6 C11:C12">
      <formula1>"必选,可选"</formula1>
    </dataValidation>
  </dataValidations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9"/>
  <sheetViews>
    <sheetView zoomScale="115" zoomScaleNormal="115" workbookViewId="0">
      <selection activeCell="A5" sqref="A5"/>
    </sheetView>
  </sheetViews>
  <sheetFormatPr defaultColWidth="9" defaultRowHeight="15.6"/>
  <cols>
    <col min="1" max="1" width="9" style="3"/>
    <col min="2" max="2" width="27" style="3" customWidth="1"/>
    <col min="3" max="3" width="9.75" style="3" customWidth="1"/>
    <col min="4" max="4" width="22.8796296296296" style="3" customWidth="1"/>
    <col min="5" max="5" width="20.25" style="3" customWidth="1"/>
    <col min="6" max="6" width="33.6296296296296" style="3" customWidth="1"/>
    <col min="7" max="7" width="10.1296296296296" style="3" hidden="1" customWidth="1"/>
    <col min="8" max="8" width="18" style="3" hidden="1" customWidth="1"/>
    <col min="9" max="9" width="26.6296296296296" style="3" customWidth="1"/>
    <col min="10" max="16384" width="9" style="3"/>
  </cols>
  <sheetData>
    <row r="2" spans="2:4">
      <c r="B2" s="27" t="s">
        <v>28</v>
      </c>
      <c r="C2" s="27"/>
      <c r="D2" s="27"/>
    </row>
    <row r="3" spans="2:9">
      <c r="B3" s="3" t="s">
        <v>253</v>
      </c>
      <c r="C3" s="3" t="s">
        <v>254</v>
      </c>
      <c r="D3" s="3" t="s">
        <v>255</v>
      </c>
      <c r="E3" s="3" t="s">
        <v>256</v>
      </c>
      <c r="F3" s="3" t="s">
        <v>257</v>
      </c>
      <c r="G3" s="3" t="s">
        <v>258</v>
      </c>
      <c r="H3" s="3" t="s">
        <v>259</v>
      </c>
      <c r="I3" s="3" t="s">
        <v>260</v>
      </c>
    </row>
    <row r="4" ht="93.6" spans="1:8">
      <c r="A4" s="3" t="s">
        <v>305</v>
      </c>
      <c r="B4" s="3" t="s">
        <v>311</v>
      </c>
      <c r="C4" s="118" t="s">
        <v>267</v>
      </c>
      <c r="D4" s="120"/>
      <c r="E4" s="3" t="s">
        <v>53</v>
      </c>
      <c r="F4" s="120" t="s">
        <v>312</v>
      </c>
      <c r="G4" s="4"/>
      <c r="H4" s="4"/>
    </row>
    <row r="5" spans="3:8">
      <c r="C5" s="116"/>
      <c r="G5" s="4" t="s">
        <v>263</v>
      </c>
      <c r="H5" s="4" t="s">
        <v>264</v>
      </c>
    </row>
    <row r="7" spans="2:4">
      <c r="B7" s="121" t="s">
        <v>32</v>
      </c>
      <c r="C7" s="27"/>
      <c r="D7" s="27"/>
    </row>
    <row r="8" spans="2:9">
      <c r="B8" s="3" t="s">
        <v>253</v>
      </c>
      <c r="C8" s="3" t="s">
        <v>254</v>
      </c>
      <c r="D8" s="3" t="s">
        <v>255</v>
      </c>
      <c r="E8" s="3" t="s">
        <v>256</v>
      </c>
      <c r="F8" s="3" t="s">
        <v>257</v>
      </c>
      <c r="G8" s="3" t="s">
        <v>258</v>
      </c>
      <c r="H8" s="3" t="s">
        <v>259</v>
      </c>
      <c r="I8" s="3" t="s">
        <v>260</v>
      </c>
    </row>
    <row r="9" spans="1:8">
      <c r="A9" s="3" t="s">
        <v>37</v>
      </c>
      <c r="B9" s="3" t="s">
        <v>37</v>
      </c>
      <c r="C9" s="116" t="s">
        <v>267</v>
      </c>
      <c r="D9" s="3" t="s">
        <v>308</v>
      </c>
      <c r="G9" s="4" t="s">
        <v>263</v>
      </c>
      <c r="H9" s="4" t="s">
        <v>264</v>
      </c>
    </row>
  </sheetData>
  <dataValidations count="1">
    <dataValidation type="list" allowBlank="1" showInputMessage="1" showErrorMessage="1" sqref="C9 C4:C5">
      <formula1>"必选,可选"</formula1>
    </dataValidation>
  </dataValidations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zoomScale="115" zoomScaleNormal="115" workbookViewId="0">
      <selection activeCell="A10" sqref="A10:E10"/>
    </sheetView>
  </sheetViews>
  <sheetFormatPr defaultColWidth="9" defaultRowHeight="15.6"/>
  <cols>
    <col min="1" max="1" width="11.75" style="3" customWidth="1"/>
    <col min="2" max="2" width="25.5" style="3" customWidth="1"/>
    <col min="3" max="3" width="9.75" style="3" customWidth="1"/>
    <col min="4" max="4" width="19.75" style="3" customWidth="1"/>
    <col min="5" max="5" width="25.1296296296296" style="3" customWidth="1"/>
    <col min="6" max="6" width="38.6296296296296" style="3" customWidth="1"/>
    <col min="7" max="7" width="10.1296296296296" style="3" hidden="1" customWidth="1"/>
    <col min="8" max="8" width="18" style="3" hidden="1" customWidth="1"/>
    <col min="9" max="9" width="26.6296296296296" style="3" customWidth="1"/>
    <col min="10" max="16384" width="9" style="3"/>
  </cols>
  <sheetData>
    <row r="1" spans="2:4">
      <c r="B1" s="27" t="s">
        <v>36</v>
      </c>
      <c r="C1" s="27"/>
      <c r="D1" s="27"/>
    </row>
    <row r="2" spans="2:9">
      <c r="B2" s="3" t="s">
        <v>253</v>
      </c>
      <c r="C2" s="3" t="s">
        <v>254</v>
      </c>
      <c r="D2" s="3" t="s">
        <v>255</v>
      </c>
      <c r="E2" s="3" t="s">
        <v>256</v>
      </c>
      <c r="F2" s="3" t="s">
        <v>257</v>
      </c>
      <c r="G2" s="3" t="s">
        <v>258</v>
      </c>
      <c r="H2" s="3" t="s">
        <v>259</v>
      </c>
      <c r="I2" s="3" t="s">
        <v>260</v>
      </c>
    </row>
    <row r="3" ht="46.8" spans="1:9">
      <c r="A3" s="3" t="s">
        <v>295</v>
      </c>
      <c r="B3" s="3" t="s">
        <v>159</v>
      </c>
      <c r="C3" s="116" t="s">
        <v>267</v>
      </c>
      <c r="D3" s="25" t="s">
        <v>53</v>
      </c>
      <c r="E3" s="3" t="s">
        <v>53</v>
      </c>
      <c r="F3" s="3" t="s">
        <v>324</v>
      </c>
      <c r="G3" s="4"/>
      <c r="H3" s="4"/>
      <c r="I3" s="120" t="s">
        <v>325</v>
      </c>
    </row>
    <row r="4" ht="46.8" spans="1:8">
      <c r="A4" s="3" t="s">
        <v>326</v>
      </c>
      <c r="B4" s="3" t="s">
        <v>327</v>
      </c>
      <c r="C4" s="116" t="s">
        <v>262</v>
      </c>
      <c r="D4" s="122" t="s">
        <v>328</v>
      </c>
      <c r="E4" s="3" t="s">
        <v>53</v>
      </c>
      <c r="F4" s="120" t="s">
        <v>329</v>
      </c>
      <c r="G4" s="4"/>
      <c r="H4" s="4"/>
    </row>
    <row r="5" ht="16.2" spans="1:8">
      <c r="A5" s="3" t="s">
        <v>330</v>
      </c>
      <c r="B5" s="117" t="s">
        <v>182</v>
      </c>
      <c r="C5" s="116" t="s">
        <v>262</v>
      </c>
      <c r="D5" s="25" t="s">
        <v>331</v>
      </c>
      <c r="E5" s="117" t="s">
        <v>160</v>
      </c>
      <c r="G5" s="4"/>
      <c r="H5" s="4"/>
    </row>
    <row r="8" spans="2:4">
      <c r="B8" s="121" t="s">
        <v>41</v>
      </c>
      <c r="C8" s="27"/>
      <c r="D8" s="27"/>
    </row>
    <row r="9" spans="2:9">
      <c r="B9" s="3" t="s">
        <v>253</v>
      </c>
      <c r="C9" s="3" t="s">
        <v>254</v>
      </c>
      <c r="D9" s="3" t="s">
        <v>255</v>
      </c>
      <c r="E9" s="3" t="s">
        <v>256</v>
      </c>
      <c r="F9" s="3" t="s">
        <v>257</v>
      </c>
      <c r="G9" s="3" t="s">
        <v>258</v>
      </c>
      <c r="H9" s="3" t="s">
        <v>259</v>
      </c>
      <c r="I9" s="3" t="s">
        <v>260</v>
      </c>
    </row>
    <row r="10" spans="1:8">
      <c r="A10" s="3" t="s">
        <v>37</v>
      </c>
      <c r="B10" s="3" t="s">
        <v>37</v>
      </c>
      <c r="C10" s="116" t="s">
        <v>262</v>
      </c>
      <c r="D10" s="3" t="s">
        <v>308</v>
      </c>
      <c r="E10" s="3" t="s">
        <v>53</v>
      </c>
      <c r="G10" s="4"/>
      <c r="H10" s="4"/>
    </row>
    <row r="11" ht="16.2" spans="1:8">
      <c r="A11" s="3" t="s">
        <v>332</v>
      </c>
      <c r="B11" s="117" t="s">
        <v>200</v>
      </c>
      <c r="C11" s="116" t="s">
        <v>267</v>
      </c>
      <c r="D11" s="3" t="s">
        <v>333</v>
      </c>
      <c r="E11" s="117" t="s">
        <v>160</v>
      </c>
      <c r="G11" s="4"/>
      <c r="H11" s="4"/>
    </row>
    <row r="13" ht="54" customHeight="1"/>
    <row r="14" spans="2:6">
      <c r="B14" s="122" t="s">
        <v>334</v>
      </c>
      <c r="C14" s="122"/>
      <c r="D14" s="122"/>
      <c r="E14" s="122"/>
      <c r="F14" s="122"/>
    </row>
    <row r="19" spans="2:4">
      <c r="B19" s="27" t="s">
        <v>160</v>
      </c>
      <c r="C19" s="27"/>
      <c r="D19" s="27"/>
    </row>
    <row r="20" spans="2:9">
      <c r="B20" s="3" t="s">
        <v>253</v>
      </c>
      <c r="C20" s="3" t="s">
        <v>254</v>
      </c>
      <c r="D20" s="3" t="s">
        <v>255</v>
      </c>
      <c r="E20" s="3" t="s">
        <v>256</v>
      </c>
      <c r="F20" s="3" t="s">
        <v>257</v>
      </c>
      <c r="G20" s="3" t="s">
        <v>258</v>
      </c>
      <c r="H20" s="3" t="s">
        <v>259</v>
      </c>
      <c r="I20" s="3" t="s">
        <v>260</v>
      </c>
    </row>
    <row r="21" ht="49.5" customHeight="1" spans="1:9">
      <c r="A21" s="3" t="s">
        <v>133</v>
      </c>
      <c r="B21" s="3" t="s">
        <v>133</v>
      </c>
      <c r="C21" s="116" t="s">
        <v>262</v>
      </c>
      <c r="D21" s="25"/>
      <c r="E21" s="3" t="s">
        <v>64</v>
      </c>
      <c r="G21" s="4"/>
      <c r="H21" s="4"/>
      <c r="I21" s="3" t="s">
        <v>291</v>
      </c>
    </row>
    <row r="22" ht="16.2" spans="1:8">
      <c r="A22" s="3" t="s">
        <v>292</v>
      </c>
      <c r="B22" s="117" t="s">
        <v>108</v>
      </c>
      <c r="C22" s="116" t="s">
        <v>262</v>
      </c>
      <c r="D22" s="25"/>
      <c r="E22" s="117" t="s">
        <v>109</v>
      </c>
      <c r="G22" s="4"/>
      <c r="H22" s="4"/>
    </row>
    <row r="23" spans="1:9">
      <c r="A23" s="3" t="s">
        <v>316</v>
      </c>
      <c r="B23" s="3" t="s">
        <v>216</v>
      </c>
      <c r="C23" s="116" t="s">
        <v>262</v>
      </c>
      <c r="D23" s="25" t="s">
        <v>331</v>
      </c>
      <c r="E23" s="3" t="s">
        <v>53</v>
      </c>
      <c r="G23" s="4"/>
      <c r="H23" s="4"/>
      <c r="I23" s="25"/>
    </row>
  </sheetData>
  <mergeCells count="1">
    <mergeCell ref="B14:F14"/>
  </mergeCells>
  <dataValidations count="1">
    <dataValidation type="list" allowBlank="1" showInputMessage="1" showErrorMessage="1" sqref="C3:C5 C10:C11 C21:C23">
      <formula1>"必选,可选"</formula1>
    </dataValidation>
  </dataValidations>
  <pageMargins left="0.7" right="0.7" top="0.75" bottom="0.75" header="0.3" footer="0.3"/>
  <pageSetup paperSize="9" orientation="portrait"/>
  <headerFooter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zoomScale="115" zoomScaleNormal="115" workbookViewId="0">
      <selection activeCell="E14" sqref="E14"/>
    </sheetView>
  </sheetViews>
  <sheetFormatPr defaultColWidth="9" defaultRowHeight="15.6" outlineLevelRow="7"/>
  <cols>
    <col min="1" max="1" width="9" style="3"/>
    <col min="2" max="2" width="25.25" style="3" customWidth="1"/>
    <col min="3" max="3" width="9.75" style="3" customWidth="1"/>
    <col min="4" max="4" width="32.8796296296296" style="3" customWidth="1"/>
    <col min="5" max="5" width="25.1296296296296" style="3" customWidth="1"/>
    <col min="6" max="6" width="33.6296296296296" style="3" customWidth="1"/>
    <col min="7" max="7" width="10.1296296296296" style="3" hidden="1" customWidth="1"/>
    <col min="8" max="8" width="18" style="3" hidden="1" customWidth="1"/>
    <col min="9" max="9" width="26.6296296296296" style="3" customWidth="1"/>
    <col min="10" max="16384" width="9" style="3"/>
  </cols>
  <sheetData>
    <row r="1" spans="2:4">
      <c r="B1" s="27" t="s">
        <v>46</v>
      </c>
      <c r="C1" s="27"/>
      <c r="D1" s="27"/>
    </row>
    <row r="2" spans="2:9">
      <c r="B2" s="3" t="s">
        <v>253</v>
      </c>
      <c r="C2" s="3" t="s">
        <v>254</v>
      </c>
      <c r="D2" s="3" t="s">
        <v>255</v>
      </c>
      <c r="E2" s="3" t="s">
        <v>256</v>
      </c>
      <c r="F2" s="3" t="s">
        <v>257</v>
      </c>
      <c r="G2" s="3" t="s">
        <v>258</v>
      </c>
      <c r="H2" s="3" t="s">
        <v>259</v>
      </c>
      <c r="I2" s="3" t="s">
        <v>260</v>
      </c>
    </row>
    <row r="3" ht="16.2" spans="1:8">
      <c r="A3" s="3" t="s">
        <v>335</v>
      </c>
      <c r="B3" s="117" t="s">
        <v>182</v>
      </c>
      <c r="C3" s="116" t="s">
        <v>262</v>
      </c>
      <c r="D3" s="25" t="s">
        <v>331</v>
      </c>
      <c r="E3" s="117" t="s">
        <v>160</v>
      </c>
      <c r="G3" s="4"/>
      <c r="H3" s="4"/>
    </row>
    <row r="6" spans="2:4">
      <c r="B6" s="121" t="s">
        <v>51</v>
      </c>
      <c r="C6" s="27"/>
      <c r="D6" s="27"/>
    </row>
    <row r="7" spans="2:9">
      <c r="B7" s="3" t="s">
        <v>253</v>
      </c>
      <c r="C7" s="3" t="s">
        <v>254</v>
      </c>
      <c r="D7" s="3" t="s">
        <v>255</v>
      </c>
      <c r="E7" s="3" t="s">
        <v>256</v>
      </c>
      <c r="F7" s="3" t="s">
        <v>257</v>
      </c>
      <c r="G7" s="3" t="s">
        <v>258</v>
      </c>
      <c r="H7" s="3" t="s">
        <v>259</v>
      </c>
      <c r="I7" s="3" t="s">
        <v>260</v>
      </c>
    </row>
    <row r="8" spans="1:8">
      <c r="A8" s="3" t="s">
        <v>37</v>
      </c>
      <c r="B8" s="3" t="s">
        <v>37</v>
      </c>
      <c r="C8" s="116" t="s">
        <v>262</v>
      </c>
      <c r="D8" s="3" t="s">
        <v>308</v>
      </c>
      <c r="E8" s="3" t="s">
        <v>53</v>
      </c>
      <c r="G8" s="4"/>
      <c r="H8" s="4"/>
    </row>
  </sheetData>
  <dataValidations count="1">
    <dataValidation type="list" allowBlank="1" showInputMessage="1" showErrorMessage="1" sqref="C3 C8">
      <formula1>"必选,可选"</formula1>
    </dataValidation>
  </dataValidations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zoomScale="115" zoomScaleNormal="115" workbookViewId="0">
      <selection activeCell="D23" sqref="D23"/>
    </sheetView>
  </sheetViews>
  <sheetFormatPr defaultColWidth="9" defaultRowHeight="15.6"/>
  <cols>
    <col min="1" max="1" width="10.6296296296296" style="3" customWidth="1"/>
    <col min="2" max="2" width="30.8796296296296" style="3" customWidth="1"/>
    <col min="3" max="3" width="9.75" style="3" customWidth="1"/>
    <col min="4" max="4" width="32.8796296296296" style="3" customWidth="1"/>
    <col min="5" max="5" width="25.1296296296296" style="3" customWidth="1"/>
    <col min="6" max="6" width="33.6296296296296" style="3" customWidth="1"/>
    <col min="7" max="7" width="10.1296296296296" style="3" hidden="1" customWidth="1"/>
    <col min="8" max="8" width="18" style="3" hidden="1" customWidth="1"/>
    <col min="9" max="9" width="26.6296296296296" style="3" customWidth="1"/>
    <col min="10" max="16384" width="9" style="3"/>
  </cols>
  <sheetData>
    <row r="1" spans="2:4">
      <c r="B1" s="3" t="s">
        <v>336</v>
      </c>
      <c r="D1" s="3" t="s">
        <v>337</v>
      </c>
    </row>
    <row r="3" ht="16.2" spans="2:4">
      <c r="B3" s="115" t="s">
        <v>338</v>
      </c>
      <c r="C3" s="27"/>
      <c r="D3" s="27"/>
    </row>
    <row r="4" spans="2:9">
      <c r="B4" s="3" t="s">
        <v>253</v>
      </c>
      <c r="C4" s="3" t="s">
        <v>254</v>
      </c>
      <c r="D4" s="3" t="s">
        <v>255</v>
      </c>
      <c r="E4" s="3" t="s">
        <v>256</v>
      </c>
      <c r="F4" s="3" t="s">
        <v>257</v>
      </c>
      <c r="G4" s="3" t="s">
        <v>258</v>
      </c>
      <c r="H4" s="3" t="s">
        <v>259</v>
      </c>
      <c r="I4" s="3" t="s">
        <v>260</v>
      </c>
    </row>
    <row r="5" ht="31.2" spans="1:9">
      <c r="A5" s="3" t="s">
        <v>339</v>
      </c>
      <c r="B5" s="3" t="s">
        <v>340</v>
      </c>
      <c r="C5" s="116" t="s">
        <v>262</v>
      </c>
      <c r="D5" s="25"/>
      <c r="E5" s="3" t="s">
        <v>64</v>
      </c>
      <c r="F5" s="120" t="s">
        <v>341</v>
      </c>
      <c r="G5" s="4"/>
      <c r="H5" s="4"/>
      <c r="I5" s="3" t="s">
        <v>291</v>
      </c>
    </row>
    <row r="6" ht="16.2" spans="1:8">
      <c r="A6" s="3" t="s">
        <v>342</v>
      </c>
      <c r="B6" s="117" t="s">
        <v>343</v>
      </c>
      <c r="C6" s="116" t="s">
        <v>262</v>
      </c>
      <c r="D6" s="25"/>
      <c r="E6" s="117" t="s">
        <v>109</v>
      </c>
      <c r="F6" s="3" t="s">
        <v>344</v>
      </c>
      <c r="G6" s="4" t="s">
        <v>263</v>
      </c>
      <c r="H6" s="4" t="s">
        <v>264</v>
      </c>
    </row>
    <row r="7" spans="1:9">
      <c r="A7" s="3" t="s">
        <v>345</v>
      </c>
      <c r="B7" s="3" t="s">
        <v>346</v>
      </c>
      <c r="C7" s="116" t="s">
        <v>262</v>
      </c>
      <c r="D7" s="25"/>
      <c r="E7" s="3" t="s">
        <v>64</v>
      </c>
      <c r="F7" s="3" t="s">
        <v>347</v>
      </c>
      <c r="G7" s="4"/>
      <c r="H7" s="4"/>
      <c r="I7" s="3" t="s">
        <v>291</v>
      </c>
    </row>
    <row r="8" ht="16.2" spans="1:8">
      <c r="A8" s="3" t="s">
        <v>348</v>
      </c>
      <c r="B8" s="117" t="s">
        <v>349</v>
      </c>
      <c r="C8" s="116" t="s">
        <v>262</v>
      </c>
      <c r="D8" s="25"/>
      <c r="E8" s="117" t="s">
        <v>109</v>
      </c>
      <c r="F8" s="3" t="s">
        <v>350</v>
      </c>
      <c r="G8" s="4" t="s">
        <v>263</v>
      </c>
      <c r="H8" s="4" t="s">
        <v>264</v>
      </c>
    </row>
    <row r="9" spans="1:8">
      <c r="A9" s="3" t="s">
        <v>351</v>
      </c>
      <c r="B9" s="3" t="s">
        <v>352</v>
      </c>
      <c r="C9" s="118" t="s">
        <v>267</v>
      </c>
      <c r="D9" s="25"/>
      <c r="E9" s="3" t="s">
        <v>64</v>
      </c>
      <c r="F9" s="119"/>
      <c r="G9" s="4"/>
      <c r="H9" s="4"/>
    </row>
    <row r="12" ht="16.2" spans="2:4">
      <c r="B12" s="115" t="s">
        <v>353</v>
      </c>
      <c r="C12" s="27"/>
      <c r="D12" s="27"/>
    </row>
    <row r="13" spans="2:9">
      <c r="B13" s="3" t="s">
        <v>253</v>
      </c>
      <c r="C13" s="3" t="s">
        <v>254</v>
      </c>
      <c r="D13" s="3" t="s">
        <v>255</v>
      </c>
      <c r="E13" s="3" t="s">
        <v>256</v>
      </c>
      <c r="F13" s="3" t="s">
        <v>257</v>
      </c>
      <c r="G13" s="3" t="s">
        <v>258</v>
      </c>
      <c r="H13" s="3" t="s">
        <v>259</v>
      </c>
      <c r="I13" s="3" t="s">
        <v>260</v>
      </c>
    </row>
    <row r="14" spans="1:9">
      <c r="A14" s="3" t="s">
        <v>339</v>
      </c>
      <c r="B14" s="3" t="s">
        <v>340</v>
      </c>
      <c r="C14" s="116" t="s">
        <v>262</v>
      </c>
      <c r="E14" s="3" t="s">
        <v>64</v>
      </c>
      <c r="F14" s="3" t="s">
        <v>354</v>
      </c>
      <c r="G14" s="4"/>
      <c r="H14" s="4"/>
      <c r="I14" s="3" t="s">
        <v>291</v>
      </c>
    </row>
    <row r="15" ht="16.2" spans="1:8">
      <c r="A15" s="3" t="s">
        <v>342</v>
      </c>
      <c r="B15" s="117" t="s">
        <v>343</v>
      </c>
      <c r="C15" s="116" t="s">
        <v>262</v>
      </c>
      <c r="E15" s="117" t="s">
        <v>109</v>
      </c>
      <c r="F15" s="3" t="s">
        <v>354</v>
      </c>
      <c r="G15" s="4" t="s">
        <v>263</v>
      </c>
      <c r="H15" s="4" t="s">
        <v>264</v>
      </c>
    </row>
    <row r="16" spans="1:8">
      <c r="A16" s="3" t="s">
        <v>345</v>
      </c>
      <c r="B16" s="3" t="s">
        <v>346</v>
      </c>
      <c r="C16" s="116" t="s">
        <v>262</v>
      </c>
      <c r="E16" s="3" t="s">
        <v>64</v>
      </c>
      <c r="F16" s="3" t="s">
        <v>354</v>
      </c>
      <c r="G16" s="4"/>
      <c r="H16" s="4"/>
    </row>
    <row r="17" ht="16.2" spans="1:8">
      <c r="A17" s="3" t="s">
        <v>348</v>
      </c>
      <c r="B17" s="117" t="s">
        <v>349</v>
      </c>
      <c r="C17" s="116" t="s">
        <v>262</v>
      </c>
      <c r="E17" s="117" t="s">
        <v>109</v>
      </c>
      <c r="F17" s="3" t="s">
        <v>354</v>
      </c>
      <c r="G17" s="4"/>
      <c r="H17" s="4"/>
    </row>
    <row r="18" spans="1:8">
      <c r="A18" s="3" t="s">
        <v>351</v>
      </c>
      <c r="B18" s="3" t="s">
        <v>352</v>
      </c>
      <c r="C18" s="116" t="s">
        <v>267</v>
      </c>
      <c r="E18" s="3" t="s">
        <v>64</v>
      </c>
      <c r="F18" s="3" t="s">
        <v>354</v>
      </c>
      <c r="G18" s="4"/>
      <c r="H18" s="4"/>
    </row>
  </sheetData>
  <dataValidations count="1">
    <dataValidation type="list" allowBlank="1" showInputMessage="1" showErrorMessage="1" sqref="C5:C9 C14:C18">
      <formula1>"必选,可选"</formula1>
    </dataValidation>
  </dataValidations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zoomScale="115" zoomScaleNormal="115" workbookViewId="0">
      <selection activeCell="D17" sqref="D17"/>
    </sheetView>
  </sheetViews>
  <sheetFormatPr defaultColWidth="9" defaultRowHeight="15.6"/>
  <cols>
    <col min="1" max="1" width="10.6296296296296" style="3" customWidth="1"/>
    <col min="2" max="2" width="30.8796296296296" style="3" customWidth="1"/>
    <col min="3" max="3" width="9.75" style="3" customWidth="1"/>
    <col min="4" max="4" width="32.8796296296296" style="3" customWidth="1"/>
    <col min="5" max="5" width="25.1296296296296" style="3" customWidth="1"/>
    <col min="6" max="6" width="33.6296296296296" style="3" customWidth="1"/>
    <col min="7" max="7" width="10.1296296296296" style="3" hidden="1" customWidth="1"/>
    <col min="8" max="8" width="18" style="3" hidden="1" customWidth="1"/>
    <col min="9" max="9" width="26.6296296296296" style="3" customWidth="1"/>
    <col min="10" max="16384" width="9" style="3"/>
  </cols>
  <sheetData>
    <row r="1" ht="16.2" spans="2:4">
      <c r="B1" s="115" t="s">
        <v>355</v>
      </c>
      <c r="C1" s="27"/>
      <c r="D1" s="27"/>
    </row>
    <row r="2" spans="2:9">
      <c r="B2" s="3" t="s">
        <v>253</v>
      </c>
      <c r="C2" s="3" t="s">
        <v>254</v>
      </c>
      <c r="D2" s="3" t="s">
        <v>255</v>
      </c>
      <c r="E2" s="3" t="s">
        <v>256</v>
      </c>
      <c r="F2" s="3" t="s">
        <v>257</v>
      </c>
      <c r="G2" s="3" t="s">
        <v>258</v>
      </c>
      <c r="H2" s="3" t="s">
        <v>259</v>
      </c>
      <c r="I2" s="3" t="s">
        <v>260</v>
      </c>
    </row>
    <row r="3" spans="1:8">
      <c r="A3" s="3" t="s">
        <v>356</v>
      </c>
      <c r="C3" s="116"/>
      <c r="D3" s="25"/>
      <c r="G3" s="4"/>
      <c r="H3" s="4"/>
    </row>
    <row r="4" ht="16.2" spans="2:8">
      <c r="B4" s="117"/>
      <c r="C4" s="116"/>
      <c r="D4" s="25"/>
      <c r="E4" s="117"/>
      <c r="G4" s="4"/>
      <c r="H4" s="4"/>
    </row>
    <row r="5" spans="3:8">
      <c r="C5" s="118"/>
      <c r="D5" s="25"/>
      <c r="F5" s="119"/>
      <c r="G5" s="4"/>
      <c r="H5" s="4"/>
    </row>
    <row r="8" ht="16.2" spans="2:4">
      <c r="B8" s="115" t="s">
        <v>357</v>
      </c>
      <c r="C8" s="27"/>
      <c r="D8" s="27"/>
    </row>
    <row r="9" spans="2:9">
      <c r="B9" s="3" t="s">
        <v>253</v>
      </c>
      <c r="C9" s="3" t="s">
        <v>254</v>
      </c>
      <c r="D9" s="3" t="s">
        <v>255</v>
      </c>
      <c r="E9" s="3" t="s">
        <v>256</v>
      </c>
      <c r="F9" s="3" t="s">
        <v>257</v>
      </c>
      <c r="G9" s="3" t="s">
        <v>258</v>
      </c>
      <c r="H9" s="3" t="s">
        <v>259</v>
      </c>
      <c r="I9" s="3" t="s">
        <v>260</v>
      </c>
    </row>
    <row r="10" spans="1:8">
      <c r="A10" s="3" t="s">
        <v>37</v>
      </c>
      <c r="B10" s="3" t="s">
        <v>37</v>
      </c>
      <c r="C10" s="116" t="s">
        <v>262</v>
      </c>
      <c r="D10" s="3" t="s">
        <v>308</v>
      </c>
      <c r="E10" s="3" t="s">
        <v>53</v>
      </c>
      <c r="G10" s="4"/>
      <c r="H10" s="4"/>
    </row>
    <row r="11" ht="16.2" spans="2:8">
      <c r="B11" s="117"/>
      <c r="C11" s="116"/>
      <c r="E11" s="117"/>
      <c r="F11" s="119"/>
      <c r="G11" s="4"/>
      <c r="H11" s="4"/>
    </row>
    <row r="12" spans="3:8">
      <c r="C12" s="116"/>
      <c r="G12" s="4"/>
      <c r="H12" s="4"/>
    </row>
  </sheetData>
  <dataValidations count="1">
    <dataValidation type="list" allowBlank="1" showInputMessage="1" showErrorMessage="1" sqref="C3:C5 C10:C12">
      <formula1>"必选,可选"</formula1>
    </dataValidation>
  </dataValidations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tabSelected="1" workbookViewId="0">
      <selection activeCell="F19" sqref="F19"/>
    </sheetView>
  </sheetViews>
  <sheetFormatPr defaultColWidth="9" defaultRowHeight="15.6"/>
  <cols>
    <col min="1" max="1" width="19.6296296296296" style="108" customWidth="1"/>
    <col min="2" max="2" width="12.1296296296296" style="108" customWidth="1"/>
    <col min="3" max="3" width="35.6296296296296" style="108" customWidth="1"/>
    <col min="4" max="5" width="9" style="108"/>
    <col min="6" max="6" width="43.1296296296296" style="108" customWidth="1"/>
    <col min="7" max="7" width="10.25" style="108" customWidth="1"/>
    <col min="8" max="8" width="32" style="108" customWidth="1"/>
    <col min="9" max="9" width="10.25" style="108" customWidth="1"/>
    <col min="10" max="16384" width="9" style="108"/>
  </cols>
  <sheetData>
    <row r="1" spans="1:7">
      <c r="A1" s="48" t="s">
        <v>358</v>
      </c>
      <c r="B1" s="48"/>
      <c r="C1" s="48"/>
      <c r="D1" s="48"/>
      <c r="E1" s="48"/>
      <c r="F1" s="48"/>
      <c r="G1" s="48"/>
    </row>
    <row r="2" spans="1:7">
      <c r="A2" s="48"/>
      <c r="B2" s="48"/>
      <c r="C2" s="48"/>
      <c r="D2" s="48"/>
      <c r="E2" s="48"/>
      <c r="F2" s="48"/>
      <c r="G2" s="48"/>
    </row>
    <row r="3" ht="46.8" spans="1:10">
      <c r="A3" s="51" t="s">
        <v>359</v>
      </c>
      <c r="B3" s="47"/>
      <c r="C3" s="109" t="s">
        <v>360</v>
      </c>
      <c r="D3" s="109"/>
      <c r="E3" s="109" t="s">
        <v>361</v>
      </c>
      <c r="F3" s="109" t="s">
        <v>362</v>
      </c>
      <c r="G3" s="109" t="s">
        <v>363</v>
      </c>
      <c r="H3" s="110" t="s">
        <v>364</v>
      </c>
      <c r="I3" s="1" t="s">
        <v>365</v>
      </c>
      <c r="J3" s="1"/>
    </row>
    <row r="4" spans="1:10">
      <c r="A4" s="51" t="s">
        <v>366</v>
      </c>
      <c r="B4" s="47" t="s">
        <v>8</v>
      </c>
      <c r="C4" s="111" t="s">
        <v>367</v>
      </c>
      <c r="D4" s="111" t="s">
        <v>368</v>
      </c>
      <c r="E4" s="1" t="s">
        <v>369</v>
      </c>
      <c r="F4" s="111" t="s">
        <v>370</v>
      </c>
      <c r="G4" s="111" t="s">
        <v>371</v>
      </c>
      <c r="H4" s="112" t="s">
        <v>372</v>
      </c>
      <c r="I4" s="1" t="s">
        <v>373</v>
      </c>
      <c r="J4" s="1"/>
    </row>
    <row r="5" spans="1:10">
      <c r="A5" s="51" t="s">
        <v>100</v>
      </c>
      <c r="B5" s="47" t="s">
        <v>13</v>
      </c>
      <c r="C5" s="1"/>
      <c r="D5" s="1"/>
      <c r="E5" s="1"/>
      <c r="F5" s="1" t="s">
        <v>374</v>
      </c>
      <c r="G5" s="111" t="s">
        <v>375</v>
      </c>
      <c r="H5" s="112" t="s">
        <v>372</v>
      </c>
      <c r="I5" s="1" t="s">
        <v>373</v>
      </c>
      <c r="J5" s="1"/>
    </row>
    <row r="6" spans="1:10">
      <c r="A6" s="51" t="s">
        <v>103</v>
      </c>
      <c r="B6" s="47" t="s">
        <v>18</v>
      </c>
      <c r="C6" s="1"/>
      <c r="D6" s="1"/>
      <c r="E6" s="1"/>
      <c r="F6" s="1" t="s">
        <v>376</v>
      </c>
      <c r="G6" s="111" t="s">
        <v>377</v>
      </c>
      <c r="H6" s="112" t="s">
        <v>372</v>
      </c>
      <c r="I6" s="1" t="s">
        <v>373</v>
      </c>
      <c r="J6" s="1"/>
    </row>
    <row r="7" spans="1:10">
      <c r="A7" s="51" t="s">
        <v>378</v>
      </c>
      <c r="B7" s="47" t="s">
        <v>23</v>
      </c>
      <c r="C7" s="1"/>
      <c r="D7" s="1"/>
      <c r="E7" s="1"/>
      <c r="F7" s="1" t="s">
        <v>379</v>
      </c>
      <c r="G7" s="111" t="s">
        <v>199</v>
      </c>
      <c r="H7" s="1" t="s">
        <v>372</v>
      </c>
      <c r="I7" s="1" t="s">
        <v>380</v>
      </c>
      <c r="J7" s="1"/>
    </row>
    <row r="8" spans="1:10">
      <c r="A8" s="51" t="s">
        <v>381</v>
      </c>
      <c r="B8" s="47" t="s">
        <v>27</v>
      </c>
      <c r="C8" s="1"/>
      <c r="D8" s="1"/>
      <c r="E8" s="1"/>
      <c r="F8" s="1" t="s">
        <v>382</v>
      </c>
      <c r="G8" s="1" t="s">
        <v>206</v>
      </c>
      <c r="H8" s="1" t="s">
        <v>372</v>
      </c>
      <c r="I8" s="1" t="s">
        <v>380</v>
      </c>
      <c r="J8" s="1"/>
    </row>
    <row r="9" spans="1:10">
      <c r="A9" s="51" t="s">
        <v>383</v>
      </c>
      <c r="B9" s="47" t="s">
        <v>31</v>
      </c>
      <c r="C9" s="1"/>
      <c r="D9" s="1"/>
      <c r="E9" s="1"/>
      <c r="F9" s="1" t="s">
        <v>384</v>
      </c>
      <c r="G9" s="1" t="s">
        <v>209</v>
      </c>
      <c r="H9" s="1" t="s">
        <v>372</v>
      </c>
      <c r="I9" s="1" t="s">
        <v>380</v>
      </c>
      <c r="J9" s="1"/>
    </row>
    <row r="10" spans="1:10">
      <c r="A10" s="51" t="s">
        <v>68</v>
      </c>
      <c r="B10" s="47" t="s">
        <v>35</v>
      </c>
      <c r="C10" s="1"/>
      <c r="D10" s="1"/>
      <c r="E10" s="1"/>
      <c r="F10" s="1" t="s">
        <v>385</v>
      </c>
      <c r="G10" s="1" t="s">
        <v>213</v>
      </c>
      <c r="H10" s="1" t="s">
        <v>372</v>
      </c>
      <c r="I10" s="1" t="s">
        <v>380</v>
      </c>
      <c r="J10" s="1"/>
    </row>
    <row r="11" spans="1:2">
      <c r="A11" s="51" t="s">
        <v>386</v>
      </c>
      <c r="B11" s="47" t="s">
        <v>40</v>
      </c>
    </row>
    <row r="12" spans="1:2">
      <c r="A12" s="51" t="s">
        <v>113</v>
      </c>
      <c r="B12" s="47" t="s">
        <v>45</v>
      </c>
    </row>
    <row r="13" spans="1:2">
      <c r="A13" s="47" t="s">
        <v>130</v>
      </c>
      <c r="B13" s="47" t="s">
        <v>50</v>
      </c>
    </row>
    <row r="14" spans="1:2">
      <c r="A14" s="51" t="s">
        <v>126</v>
      </c>
      <c r="B14" s="47" t="s">
        <v>55</v>
      </c>
    </row>
    <row r="15" spans="1:2">
      <c r="A15" s="51" t="s">
        <v>197</v>
      </c>
      <c r="B15" s="47" t="s">
        <v>59</v>
      </c>
    </row>
    <row r="16" spans="1:2">
      <c r="A16" s="51" t="s">
        <v>91</v>
      </c>
      <c r="B16" s="47" t="s">
        <v>387</v>
      </c>
    </row>
    <row r="17" spans="1:2">
      <c r="A17" s="51" t="s">
        <v>202</v>
      </c>
      <c r="B17" s="47" t="s">
        <v>388</v>
      </c>
    </row>
    <row r="18" spans="1:2">
      <c r="A18" s="51" t="s">
        <v>389</v>
      </c>
      <c r="B18" s="47" t="s">
        <v>390</v>
      </c>
    </row>
    <row r="19" spans="1:2">
      <c r="A19" s="51" t="s">
        <v>391</v>
      </c>
      <c r="B19" s="47" t="s">
        <v>392</v>
      </c>
    </row>
    <row r="20" spans="1:2">
      <c r="A20" s="51" t="s">
        <v>393</v>
      </c>
      <c r="B20" s="47" t="s">
        <v>394</v>
      </c>
    </row>
    <row r="21" spans="1:2">
      <c r="A21" s="51" t="s">
        <v>212</v>
      </c>
      <c r="B21" s="47" t="s">
        <v>395</v>
      </c>
    </row>
    <row r="22" spans="1:2">
      <c r="A22" s="51" t="s">
        <v>10</v>
      </c>
      <c r="B22" s="47" t="s">
        <v>396</v>
      </c>
    </row>
    <row r="23" spans="1:2">
      <c r="A23" s="51" t="s">
        <v>397</v>
      </c>
      <c r="B23" s="47" t="s">
        <v>398</v>
      </c>
    </row>
    <row r="24" spans="1:2">
      <c r="A24" s="51" t="s">
        <v>133</v>
      </c>
      <c r="B24" s="51" t="s">
        <v>399</v>
      </c>
    </row>
    <row r="25" spans="1:2">
      <c r="A25" s="51" t="s">
        <v>400</v>
      </c>
      <c r="B25" s="51" t="s">
        <v>401</v>
      </c>
    </row>
    <row r="26" spans="1:2">
      <c r="A26" s="51" t="s">
        <v>402</v>
      </c>
      <c r="B26" s="51" t="s">
        <v>403</v>
      </c>
    </row>
    <row r="27" spans="1:2">
      <c r="A27" s="51" t="s">
        <v>404</v>
      </c>
      <c r="B27" s="51" t="s">
        <v>405</v>
      </c>
    </row>
    <row r="28" spans="1:2">
      <c r="A28" s="73" t="s">
        <v>406</v>
      </c>
      <c r="B28" s="51" t="s">
        <v>407</v>
      </c>
    </row>
    <row r="29" spans="1:2">
      <c r="A29" s="73" t="s">
        <v>408</v>
      </c>
      <c r="B29" s="51" t="s">
        <v>409</v>
      </c>
    </row>
    <row r="30" spans="1:2">
      <c r="A30" s="73" t="s">
        <v>410</v>
      </c>
      <c r="B30" s="51" t="s">
        <v>411</v>
      </c>
    </row>
    <row r="31" spans="1:3">
      <c r="A31" s="73" t="s">
        <v>412</v>
      </c>
      <c r="B31" s="51" t="s">
        <v>413</v>
      </c>
      <c r="C31" s="113"/>
    </row>
    <row r="32" spans="1:2">
      <c r="A32" s="73" t="s">
        <v>414</v>
      </c>
      <c r="B32" s="51" t="s">
        <v>415</v>
      </c>
    </row>
    <row r="33" spans="1:2">
      <c r="A33" s="73" t="s">
        <v>416</v>
      </c>
      <c r="B33" s="51" t="s">
        <v>417</v>
      </c>
    </row>
    <row r="34" spans="1:2">
      <c r="A34" s="73" t="s">
        <v>418</v>
      </c>
      <c r="B34" s="51" t="s">
        <v>419</v>
      </c>
    </row>
    <row r="35" spans="1:2">
      <c r="A35" s="73" t="s">
        <v>420</v>
      </c>
      <c r="B35" s="47" t="s">
        <v>421</v>
      </c>
    </row>
    <row r="36" spans="1:2">
      <c r="A36" s="73" t="s">
        <v>422</v>
      </c>
      <c r="B36" s="47" t="s">
        <v>423</v>
      </c>
    </row>
    <row r="37" spans="1:2">
      <c r="A37" s="73" t="s">
        <v>424</v>
      </c>
      <c r="B37" s="47" t="s">
        <v>425</v>
      </c>
    </row>
    <row r="38" spans="1:2">
      <c r="A38" s="73" t="s">
        <v>426</v>
      </c>
      <c r="B38" s="47" t="s">
        <v>427</v>
      </c>
    </row>
    <row r="39" spans="1:2">
      <c r="A39" s="73" t="s">
        <v>428</v>
      </c>
      <c r="B39" s="47" t="s">
        <v>429</v>
      </c>
    </row>
    <row r="40" spans="1:2">
      <c r="A40" s="73" t="s">
        <v>430</v>
      </c>
      <c r="B40" s="47" t="s">
        <v>431</v>
      </c>
    </row>
    <row r="41" spans="1:2">
      <c r="A41" s="112"/>
      <c r="B41" s="114"/>
    </row>
    <row r="42" spans="1:2">
      <c r="A42" s="14"/>
      <c r="B42" s="47"/>
    </row>
    <row r="43" spans="1:2">
      <c r="A43" s="14"/>
      <c r="B43" s="47"/>
    </row>
    <row r="44" spans="1:2">
      <c r="A44" s="14"/>
      <c r="B44" s="47"/>
    </row>
  </sheetData>
  <mergeCells count="1">
    <mergeCell ref="A1:G1"/>
  </mergeCells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Roman"&amp;B&amp;G&amp;R内部使用▲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0"/>
  <sheetViews>
    <sheetView zoomScale="80" zoomScaleNormal="80" topLeftCell="A51" workbookViewId="0">
      <selection activeCell="G66" sqref="G66"/>
    </sheetView>
  </sheetViews>
  <sheetFormatPr defaultColWidth="9" defaultRowHeight="15.6" outlineLevelCol="6"/>
  <cols>
    <col min="1" max="1" width="35.75" style="47" customWidth="1"/>
    <col min="2" max="2" width="26.1296296296296" style="47" customWidth="1"/>
    <col min="3" max="3" width="51.6296296296296" style="47" customWidth="1"/>
    <col min="4" max="4" width="20.25" style="47" customWidth="1"/>
    <col min="5" max="5" width="11.25" style="47" customWidth="1"/>
    <col min="6" max="6" width="30.6296296296296" style="48" customWidth="1"/>
    <col min="7" max="7" width="26" style="48" customWidth="1"/>
    <col min="8" max="16384" width="9" style="47"/>
  </cols>
  <sheetData>
    <row r="1" ht="19.2" spans="1:3">
      <c r="A1" s="49" t="s">
        <v>432</v>
      </c>
      <c r="B1" s="50"/>
      <c r="C1" s="50"/>
    </row>
    <row r="2" spans="6:7">
      <c r="F2" s="48" t="s">
        <v>433</v>
      </c>
      <c r="G2" s="48" t="s">
        <v>434</v>
      </c>
    </row>
    <row r="3" spans="1:1">
      <c r="A3" s="51" t="s">
        <v>435</v>
      </c>
    </row>
    <row r="4" spans="1:1">
      <c r="A4" s="51"/>
    </row>
    <row r="5" spans="1:1">
      <c r="A5" s="51"/>
    </row>
    <row r="6" ht="32.4" spans="1:2">
      <c r="A6" s="64" t="s">
        <v>436</v>
      </c>
      <c r="B6" s="65" t="s">
        <v>437</v>
      </c>
    </row>
    <row r="7" ht="16.2" spans="1:2">
      <c r="A7" s="64" t="s">
        <v>438</v>
      </c>
      <c r="B7" s="66" t="s">
        <v>439</v>
      </c>
    </row>
    <row r="8" ht="16.35" spans="1:1">
      <c r="A8" s="51"/>
    </row>
    <row r="9" ht="16.95" spans="1:5">
      <c r="A9" s="52" t="s">
        <v>4</v>
      </c>
      <c r="B9" s="53" t="s">
        <v>440</v>
      </c>
      <c r="C9" s="53" t="s">
        <v>434</v>
      </c>
      <c r="D9" s="53" t="s">
        <v>260</v>
      </c>
      <c r="E9" s="53" t="s">
        <v>441</v>
      </c>
    </row>
    <row r="10" ht="47.55" spans="1:6">
      <c r="A10" s="54" t="s">
        <v>366</v>
      </c>
      <c r="B10" s="55" t="s">
        <v>53</v>
      </c>
      <c r="C10" s="55" t="s">
        <v>442</v>
      </c>
      <c r="D10" s="55">
        <v>0</v>
      </c>
      <c r="E10" s="56" t="s">
        <v>262</v>
      </c>
      <c r="F10" s="48">
        <v>8</v>
      </c>
    </row>
    <row r="11" ht="31.95" spans="1:6">
      <c r="A11" s="54" t="s">
        <v>100</v>
      </c>
      <c r="B11" s="55" t="s">
        <v>53</v>
      </c>
      <c r="C11" s="57" t="s">
        <v>443</v>
      </c>
      <c r="D11" s="55">
        <v>655231</v>
      </c>
      <c r="E11" s="56" t="s">
        <v>262</v>
      </c>
      <c r="F11" s="48">
        <v>8</v>
      </c>
    </row>
    <row r="12" ht="47.55" spans="1:6">
      <c r="A12" s="54" t="s">
        <v>103</v>
      </c>
      <c r="B12" s="55" t="s">
        <v>104</v>
      </c>
      <c r="C12" s="58" t="s">
        <v>444</v>
      </c>
      <c r="D12" s="55">
        <v>1701023444000</v>
      </c>
      <c r="E12" s="56" t="s">
        <v>262</v>
      </c>
      <c r="F12" s="48">
        <v>12</v>
      </c>
    </row>
    <row r="13" ht="16.95" spans="1:6">
      <c r="A13" s="54" t="s">
        <v>47</v>
      </c>
      <c r="B13" s="55" t="s">
        <v>445</v>
      </c>
      <c r="C13" s="55" t="s">
        <v>446</v>
      </c>
      <c r="D13" s="55" t="s">
        <v>447</v>
      </c>
      <c r="E13" s="56" t="s">
        <v>262</v>
      </c>
      <c r="F13" s="48" t="s">
        <v>448</v>
      </c>
    </row>
    <row r="14" ht="32.4" spans="1:7">
      <c r="A14" s="85"/>
      <c r="B14" s="85"/>
      <c r="C14" s="85"/>
      <c r="D14" s="85"/>
      <c r="F14" s="75" t="s">
        <v>449</v>
      </c>
      <c r="G14" s="76" t="s">
        <v>437</v>
      </c>
    </row>
    <row r="15" spans="1:7">
      <c r="A15" s="59" t="s">
        <v>450</v>
      </c>
      <c r="F15" s="47"/>
      <c r="G15" s="47"/>
    </row>
    <row r="16" ht="16.35" spans="1:1">
      <c r="A16" s="59" t="s">
        <v>451</v>
      </c>
    </row>
    <row r="17" ht="16.95" spans="1:5">
      <c r="A17" s="78" t="s">
        <v>4</v>
      </c>
      <c r="B17" s="79" t="s">
        <v>440</v>
      </c>
      <c r="C17" s="79" t="s">
        <v>434</v>
      </c>
      <c r="D17" s="79" t="s">
        <v>260</v>
      </c>
      <c r="E17" s="53" t="s">
        <v>441</v>
      </c>
    </row>
    <row r="18" ht="16.35" spans="1:6">
      <c r="A18" s="69" t="s">
        <v>94</v>
      </c>
      <c r="B18" s="70" t="s">
        <v>16</v>
      </c>
      <c r="C18" s="70" t="s">
        <v>286</v>
      </c>
      <c r="D18" s="70">
        <v>120.1231231</v>
      </c>
      <c r="E18" s="56" t="s">
        <v>262</v>
      </c>
      <c r="F18" s="48">
        <v>8</v>
      </c>
    </row>
    <row r="19" ht="16.35" spans="1:6">
      <c r="A19" s="69" t="s">
        <v>88</v>
      </c>
      <c r="B19" s="70" t="s">
        <v>16</v>
      </c>
      <c r="C19" s="70" t="s">
        <v>288</v>
      </c>
      <c r="D19" s="70">
        <v>30.7654521</v>
      </c>
      <c r="E19" s="56" t="s">
        <v>262</v>
      </c>
      <c r="F19" s="48">
        <v>8</v>
      </c>
    </row>
    <row r="20" ht="16.35" spans="1:6">
      <c r="A20" s="69" t="s">
        <v>15</v>
      </c>
      <c r="B20" s="70" t="s">
        <v>16</v>
      </c>
      <c r="C20" s="70" t="s">
        <v>289</v>
      </c>
      <c r="D20" s="86">
        <v>60.21</v>
      </c>
      <c r="E20" s="56" t="s">
        <v>262</v>
      </c>
      <c r="F20" s="48">
        <v>8</v>
      </c>
    </row>
    <row r="21" spans="1:1">
      <c r="A21" s="59" t="s">
        <v>450</v>
      </c>
    </row>
    <row r="22" ht="16.35" spans="1:1">
      <c r="A22" s="59" t="s">
        <v>452</v>
      </c>
    </row>
    <row r="23" ht="16.95" spans="1:5">
      <c r="A23" s="52" t="s">
        <v>4</v>
      </c>
      <c r="B23" s="53" t="s">
        <v>440</v>
      </c>
      <c r="C23" s="53" t="s">
        <v>434</v>
      </c>
      <c r="D23" s="53" t="s">
        <v>260</v>
      </c>
      <c r="E23" s="53" t="s">
        <v>441</v>
      </c>
    </row>
    <row r="24" ht="16.35" spans="1:6">
      <c r="A24" s="70" t="s">
        <v>133</v>
      </c>
      <c r="B24" s="70" t="s">
        <v>64</v>
      </c>
      <c r="C24" s="70" t="s">
        <v>453</v>
      </c>
      <c r="D24" s="70" t="s">
        <v>454</v>
      </c>
      <c r="E24" s="56" t="s">
        <v>267</v>
      </c>
      <c r="F24" s="48">
        <v>11</v>
      </c>
    </row>
    <row r="25" ht="16.35" spans="1:6">
      <c r="A25" s="70" t="s">
        <v>400</v>
      </c>
      <c r="B25" s="70" t="s">
        <v>131</v>
      </c>
      <c r="C25" s="70" t="s">
        <v>455</v>
      </c>
      <c r="D25" s="70">
        <v>32</v>
      </c>
      <c r="E25" s="56" t="s">
        <v>267</v>
      </c>
      <c r="F25" s="48">
        <v>5</v>
      </c>
    </row>
    <row r="26" ht="31.95" spans="1:6">
      <c r="A26" s="70" t="s">
        <v>381</v>
      </c>
      <c r="B26" s="70" t="s">
        <v>53</v>
      </c>
      <c r="C26" s="70" t="s">
        <v>456</v>
      </c>
      <c r="D26" s="70"/>
      <c r="E26" s="56" t="s">
        <v>267</v>
      </c>
      <c r="F26" s="48">
        <v>8</v>
      </c>
    </row>
    <row r="27" ht="16.35" spans="1:6">
      <c r="A27" s="69" t="s">
        <v>383</v>
      </c>
      <c r="B27" s="70" t="s">
        <v>53</v>
      </c>
      <c r="C27" s="70"/>
      <c r="D27" s="69"/>
      <c r="E27" s="56" t="s">
        <v>267</v>
      </c>
      <c r="F27" s="48">
        <v>8</v>
      </c>
    </row>
    <row r="28" ht="16.35" spans="1:6">
      <c r="A28" s="69" t="s">
        <v>404</v>
      </c>
      <c r="B28" s="70" t="s">
        <v>53</v>
      </c>
      <c r="C28" s="70" t="s">
        <v>457</v>
      </c>
      <c r="D28" s="69"/>
      <c r="E28" s="56" t="s">
        <v>267</v>
      </c>
      <c r="F28" s="48">
        <v>8</v>
      </c>
    </row>
    <row r="29" ht="31.95" spans="1:6">
      <c r="A29" s="69" t="s">
        <v>68</v>
      </c>
      <c r="B29" s="70" t="s">
        <v>21</v>
      </c>
      <c r="C29" s="70" t="s">
        <v>458</v>
      </c>
      <c r="D29" s="69"/>
      <c r="E29" s="56" t="s">
        <v>267</v>
      </c>
      <c r="F29" s="48">
        <v>28</v>
      </c>
    </row>
    <row r="30" ht="16.95" spans="1:6">
      <c r="A30" s="69" t="s">
        <v>56</v>
      </c>
      <c r="B30" s="70" t="s">
        <v>459</v>
      </c>
      <c r="C30" s="70" t="s">
        <v>460</v>
      </c>
      <c r="D30" s="69"/>
      <c r="E30" s="56" t="s">
        <v>262</v>
      </c>
      <c r="F30" s="48" t="s">
        <v>461</v>
      </c>
    </row>
    <row r="31" spans="1:4">
      <c r="A31" s="73"/>
      <c r="B31" s="73"/>
      <c r="C31" s="73"/>
      <c r="D31" s="73"/>
    </row>
    <row r="32" spans="1:1">
      <c r="A32" s="59" t="s">
        <v>450</v>
      </c>
    </row>
    <row r="33" ht="16.35" spans="1:1">
      <c r="A33" s="59" t="s">
        <v>462</v>
      </c>
    </row>
    <row r="34" ht="16.95" spans="1:5">
      <c r="A34" s="52" t="s">
        <v>4</v>
      </c>
      <c r="B34" s="53" t="s">
        <v>440</v>
      </c>
      <c r="C34" s="52" t="s">
        <v>434</v>
      </c>
      <c r="D34" s="53" t="s">
        <v>260</v>
      </c>
      <c r="E34" s="53" t="s">
        <v>441</v>
      </c>
    </row>
    <row r="35" ht="47.55" spans="1:7">
      <c r="A35" s="69" t="s">
        <v>113</v>
      </c>
      <c r="B35" s="70" t="s">
        <v>114</v>
      </c>
      <c r="C35" s="70" t="s">
        <v>463</v>
      </c>
      <c r="D35" s="69" t="s">
        <v>464</v>
      </c>
      <c r="E35" s="56" t="s">
        <v>262</v>
      </c>
      <c r="F35" s="48">
        <v>20</v>
      </c>
      <c r="G35" s="48" t="s">
        <v>465</v>
      </c>
    </row>
    <row r="36" ht="231.95" customHeight="1" spans="1:6">
      <c r="A36" s="69" t="s">
        <v>130</v>
      </c>
      <c r="B36" s="70" t="s">
        <v>131</v>
      </c>
      <c r="C36" s="70" t="s">
        <v>466</v>
      </c>
      <c r="D36" s="69" t="s">
        <v>467</v>
      </c>
      <c r="E36" s="56" t="s">
        <v>262</v>
      </c>
      <c r="F36" s="48">
        <v>5</v>
      </c>
    </row>
    <row r="37" spans="1:6">
      <c r="A37" s="87" t="s">
        <v>402</v>
      </c>
      <c r="B37" s="88" t="s">
        <v>16</v>
      </c>
      <c r="C37" s="88" t="s">
        <v>468</v>
      </c>
      <c r="D37" s="87">
        <v>0.99</v>
      </c>
      <c r="E37" s="89" t="s">
        <v>267</v>
      </c>
      <c r="F37" s="48">
        <v>12</v>
      </c>
    </row>
    <row r="38" ht="31.2" spans="1:6">
      <c r="A38" s="90" t="s">
        <v>125</v>
      </c>
      <c r="B38" s="90" t="s">
        <v>126</v>
      </c>
      <c r="C38" s="90" t="s">
        <v>469</v>
      </c>
      <c r="D38" s="90"/>
      <c r="E38" s="91" t="s">
        <v>262</v>
      </c>
      <c r="F38" s="48">
        <v>193</v>
      </c>
    </row>
    <row r="39" ht="31.2" spans="1:6">
      <c r="A39" s="92" t="s">
        <v>470</v>
      </c>
      <c r="B39" s="92" t="s">
        <v>367</v>
      </c>
      <c r="C39" s="92" t="s">
        <v>471</v>
      </c>
      <c r="D39" s="92"/>
      <c r="E39" s="93" t="s">
        <v>267</v>
      </c>
      <c r="F39" s="94" t="s">
        <v>472</v>
      </c>
    </row>
    <row r="40" spans="1:1">
      <c r="A40" s="59" t="s">
        <v>450</v>
      </c>
    </row>
    <row r="41" ht="16.35" spans="1:1">
      <c r="A41" s="59" t="s">
        <v>473</v>
      </c>
    </row>
    <row r="42" ht="16.95" spans="1:5">
      <c r="A42" s="78" t="s">
        <v>4</v>
      </c>
      <c r="B42" s="79" t="s">
        <v>440</v>
      </c>
      <c r="C42" s="79" t="s">
        <v>434</v>
      </c>
      <c r="D42" s="79" t="s">
        <v>260</v>
      </c>
      <c r="E42" s="53" t="s">
        <v>441</v>
      </c>
    </row>
    <row r="43" ht="16.35" spans="1:6">
      <c r="A43" s="69" t="s">
        <v>197</v>
      </c>
      <c r="B43" s="70" t="s">
        <v>104</v>
      </c>
      <c r="C43" s="70" t="s">
        <v>474</v>
      </c>
      <c r="D43" s="70"/>
      <c r="E43" s="56" t="s">
        <v>262</v>
      </c>
      <c r="F43" s="48">
        <v>12</v>
      </c>
    </row>
    <row r="44" ht="16.95" spans="1:6">
      <c r="A44" s="95" t="s">
        <v>91</v>
      </c>
      <c r="B44" s="96" t="s">
        <v>21</v>
      </c>
      <c r="C44" s="86" t="s">
        <v>475</v>
      </c>
      <c r="D44" s="86"/>
      <c r="E44" s="56" t="s">
        <v>262</v>
      </c>
      <c r="F44" s="48">
        <v>28</v>
      </c>
    </row>
    <row r="45" ht="16.35" spans="1:6">
      <c r="A45" s="69" t="s">
        <v>202</v>
      </c>
      <c r="B45" s="70" t="s">
        <v>16</v>
      </c>
      <c r="C45" s="80" t="s">
        <v>476</v>
      </c>
      <c r="D45" s="70"/>
      <c r="E45" s="56" t="s">
        <v>262</v>
      </c>
      <c r="F45" s="48">
        <v>12</v>
      </c>
    </row>
    <row r="46" ht="16.35" spans="1:6">
      <c r="A46" s="69" t="s">
        <v>389</v>
      </c>
      <c r="B46" s="70" t="s">
        <v>16</v>
      </c>
      <c r="C46" s="70" t="s">
        <v>477</v>
      </c>
      <c r="D46" s="70"/>
      <c r="E46" s="56" t="s">
        <v>267</v>
      </c>
      <c r="F46" s="48">
        <v>12</v>
      </c>
    </row>
    <row r="47" ht="16.35" spans="1:6">
      <c r="A47" s="69" t="s">
        <v>391</v>
      </c>
      <c r="B47" s="70" t="s">
        <v>16</v>
      </c>
      <c r="C47" s="70" t="s">
        <v>478</v>
      </c>
      <c r="D47" s="70"/>
      <c r="E47" s="56" t="s">
        <v>267</v>
      </c>
      <c r="F47" s="48">
        <v>12</v>
      </c>
    </row>
    <row r="48" ht="16.35" spans="1:6">
      <c r="A48" s="69" t="s">
        <v>393</v>
      </c>
      <c r="B48" s="70" t="s">
        <v>16</v>
      </c>
      <c r="C48" s="70" t="s">
        <v>479</v>
      </c>
      <c r="D48" s="70"/>
      <c r="E48" s="56" t="s">
        <v>267</v>
      </c>
      <c r="F48" s="48">
        <v>12</v>
      </c>
    </row>
    <row r="49" s="84" customFormat="1" ht="16.35" spans="1:7">
      <c r="A49" s="69" t="s">
        <v>406</v>
      </c>
      <c r="B49" s="70" t="s">
        <v>53</v>
      </c>
      <c r="C49" s="70" t="s">
        <v>480</v>
      </c>
      <c r="D49" s="70"/>
      <c r="E49" s="56" t="s">
        <v>267</v>
      </c>
      <c r="F49" s="48">
        <v>8</v>
      </c>
      <c r="G49" s="48"/>
    </row>
    <row r="50" ht="16.35" spans="1:6">
      <c r="A50" s="69" t="s">
        <v>408</v>
      </c>
      <c r="B50" s="70" t="s">
        <v>53</v>
      </c>
      <c r="C50" s="70" t="s">
        <v>481</v>
      </c>
      <c r="D50" s="70"/>
      <c r="E50" s="56" t="s">
        <v>267</v>
      </c>
      <c r="F50" s="48">
        <v>8</v>
      </c>
    </row>
    <row r="51" ht="16.35" spans="1:6">
      <c r="A51" s="69" t="s">
        <v>410</v>
      </c>
      <c r="B51" s="70" t="s">
        <v>53</v>
      </c>
      <c r="C51" s="70" t="s">
        <v>482</v>
      </c>
      <c r="D51" s="70"/>
      <c r="E51" s="56" t="s">
        <v>267</v>
      </c>
      <c r="F51" s="48">
        <v>8</v>
      </c>
    </row>
    <row r="52" ht="16.35" spans="1:6">
      <c r="A52" s="69" t="s">
        <v>412</v>
      </c>
      <c r="B52" s="70" t="s">
        <v>483</v>
      </c>
      <c r="C52" s="70" t="s">
        <v>484</v>
      </c>
      <c r="D52" s="70"/>
      <c r="E52" s="56" t="s">
        <v>267</v>
      </c>
      <c r="F52" s="48">
        <v>8</v>
      </c>
    </row>
    <row r="53" ht="16.35" spans="1:6">
      <c r="A53" s="69" t="s">
        <v>414</v>
      </c>
      <c r="B53" s="70" t="s">
        <v>483</v>
      </c>
      <c r="C53" s="70" t="s">
        <v>485</v>
      </c>
      <c r="D53" s="70"/>
      <c r="E53" s="56" t="s">
        <v>267</v>
      </c>
      <c r="F53" s="48">
        <v>8</v>
      </c>
    </row>
    <row r="54" ht="16.35" spans="1:6">
      <c r="A54" s="69" t="s">
        <v>416</v>
      </c>
      <c r="B54" s="70" t="s">
        <v>483</v>
      </c>
      <c r="C54" s="70" t="s">
        <v>486</v>
      </c>
      <c r="D54" s="70"/>
      <c r="E54" s="56" t="s">
        <v>267</v>
      </c>
      <c r="F54" s="48">
        <v>8</v>
      </c>
    </row>
    <row r="55" ht="16.35" spans="1:6">
      <c r="A55" s="69" t="s">
        <v>418</v>
      </c>
      <c r="B55" s="70" t="s">
        <v>483</v>
      </c>
      <c r="C55" s="70" t="s">
        <v>487</v>
      </c>
      <c r="D55" s="70"/>
      <c r="E55" s="56" t="s">
        <v>267</v>
      </c>
      <c r="F55" s="48">
        <v>8</v>
      </c>
    </row>
    <row r="56" ht="16.35" spans="1:6">
      <c r="A56" s="69" t="s">
        <v>420</v>
      </c>
      <c r="B56" s="70" t="s">
        <v>483</v>
      </c>
      <c r="C56" s="70" t="s">
        <v>488</v>
      </c>
      <c r="D56" s="70"/>
      <c r="E56" s="56" t="s">
        <v>267</v>
      </c>
      <c r="F56" s="48">
        <v>8</v>
      </c>
    </row>
    <row r="57" ht="16.35" spans="1:6">
      <c r="A57" s="69" t="s">
        <v>422</v>
      </c>
      <c r="B57" s="70" t="s">
        <v>483</v>
      </c>
      <c r="C57" s="70" t="s">
        <v>489</v>
      </c>
      <c r="D57" s="70"/>
      <c r="E57" s="56" t="s">
        <v>267</v>
      </c>
      <c r="F57" s="48">
        <v>8</v>
      </c>
    </row>
    <row r="58" ht="16.35" spans="1:6">
      <c r="A58" s="69" t="s">
        <v>424</v>
      </c>
      <c r="B58" s="70" t="s">
        <v>483</v>
      </c>
      <c r="C58" s="70" t="s">
        <v>490</v>
      </c>
      <c r="D58" s="70"/>
      <c r="E58" s="56" t="s">
        <v>267</v>
      </c>
      <c r="F58" s="48">
        <v>8</v>
      </c>
    </row>
    <row r="59" ht="16.35" spans="1:6">
      <c r="A59" s="69" t="s">
        <v>426</v>
      </c>
      <c r="B59" s="70" t="s">
        <v>483</v>
      </c>
      <c r="C59" s="70" t="s">
        <v>491</v>
      </c>
      <c r="D59" s="70"/>
      <c r="E59" s="56" t="s">
        <v>267</v>
      </c>
      <c r="F59" s="48">
        <v>8</v>
      </c>
    </row>
    <row r="60" ht="16.35" spans="1:6">
      <c r="A60" s="69" t="s">
        <v>428</v>
      </c>
      <c r="B60" s="70" t="s">
        <v>483</v>
      </c>
      <c r="C60" s="70" t="s">
        <v>492</v>
      </c>
      <c r="D60" s="70"/>
      <c r="E60" s="56" t="s">
        <v>267</v>
      </c>
      <c r="F60" s="48">
        <v>8</v>
      </c>
    </row>
    <row r="61" ht="47.55" spans="1:6">
      <c r="A61" s="69" t="s">
        <v>430</v>
      </c>
      <c r="B61" s="70" t="s">
        <v>131</v>
      </c>
      <c r="C61" s="70" t="s">
        <v>493</v>
      </c>
      <c r="D61" s="70" t="s">
        <v>494</v>
      </c>
      <c r="E61" s="56" t="s">
        <v>267</v>
      </c>
      <c r="F61" s="48">
        <v>5</v>
      </c>
    </row>
    <row r="62" spans="1:5">
      <c r="A62" s="60"/>
      <c r="B62" s="60"/>
      <c r="C62" s="60"/>
      <c r="D62" s="60"/>
      <c r="E62" s="61"/>
    </row>
    <row r="63" spans="1:5">
      <c r="A63" s="97" t="s">
        <v>495</v>
      </c>
      <c r="B63" s="97"/>
      <c r="C63" s="97"/>
      <c r="D63" s="97"/>
      <c r="E63" s="98"/>
    </row>
    <row r="64" ht="16.2" spans="1:5">
      <c r="A64" s="99" t="s">
        <v>4</v>
      </c>
      <c r="B64" s="99" t="s">
        <v>440</v>
      </c>
      <c r="C64" s="99" t="s">
        <v>434</v>
      </c>
      <c r="D64" s="99" t="s">
        <v>260</v>
      </c>
      <c r="E64" s="99" t="s">
        <v>441</v>
      </c>
    </row>
    <row r="65" spans="1:6">
      <c r="A65" s="100" t="s">
        <v>370</v>
      </c>
      <c r="B65" s="100" t="s">
        <v>496</v>
      </c>
      <c r="C65" s="100" t="s">
        <v>497</v>
      </c>
      <c r="D65" s="100"/>
      <c r="E65" s="101" t="s">
        <v>267</v>
      </c>
      <c r="F65" s="48">
        <v>10</v>
      </c>
    </row>
    <row r="66" ht="46.8" spans="1:6">
      <c r="A66" s="100" t="s">
        <v>379</v>
      </c>
      <c r="B66" s="100" t="s">
        <v>498</v>
      </c>
      <c r="C66" s="100" t="s">
        <v>499</v>
      </c>
      <c r="D66" s="100" t="s">
        <v>500</v>
      </c>
      <c r="E66" s="101" t="s">
        <v>267</v>
      </c>
      <c r="F66" s="48">
        <v>7</v>
      </c>
    </row>
    <row r="67" ht="62.1" customHeight="1" spans="1:6">
      <c r="A67" s="100" t="s">
        <v>501</v>
      </c>
      <c r="B67" s="100" t="s">
        <v>502</v>
      </c>
      <c r="C67" s="100" t="s">
        <v>503</v>
      </c>
      <c r="D67" s="100"/>
      <c r="E67" s="101" t="s">
        <v>267</v>
      </c>
      <c r="F67" s="48">
        <v>0</v>
      </c>
    </row>
    <row r="68" ht="63" customHeight="1" spans="1:5">
      <c r="A68" s="100" t="s">
        <v>374</v>
      </c>
      <c r="B68" s="100" t="s">
        <v>504</v>
      </c>
      <c r="C68" s="100" t="s">
        <v>505</v>
      </c>
      <c r="D68" s="100"/>
      <c r="E68" s="101" t="s">
        <v>267</v>
      </c>
    </row>
    <row r="69" spans="1:5">
      <c r="A69" s="97"/>
      <c r="B69" s="97"/>
      <c r="C69" s="97"/>
      <c r="D69" s="97"/>
      <c r="E69" s="98"/>
    </row>
    <row r="70" ht="16.35" spans="1:5">
      <c r="A70" s="97" t="s">
        <v>506</v>
      </c>
      <c r="B70" s="97"/>
      <c r="C70" s="97"/>
      <c r="D70" s="97"/>
      <c r="E70" s="98"/>
    </row>
    <row r="71" ht="16.95" spans="1:5">
      <c r="A71" s="102" t="s">
        <v>4</v>
      </c>
      <c r="B71" s="103" t="s">
        <v>440</v>
      </c>
      <c r="C71" s="103" t="s">
        <v>434</v>
      </c>
      <c r="D71" s="103" t="s">
        <v>260</v>
      </c>
      <c r="E71" s="104" t="s">
        <v>441</v>
      </c>
    </row>
    <row r="72" ht="16.35" spans="1:6">
      <c r="A72" s="69" t="s">
        <v>382</v>
      </c>
      <c r="B72" s="70" t="s">
        <v>104</v>
      </c>
      <c r="C72" s="70" t="s">
        <v>507</v>
      </c>
      <c r="D72" s="70"/>
      <c r="E72" s="56" t="s">
        <v>262</v>
      </c>
      <c r="F72" s="48">
        <v>12</v>
      </c>
    </row>
    <row r="73" ht="16.95" spans="1:6">
      <c r="A73" s="95" t="s">
        <v>384</v>
      </c>
      <c r="B73" s="96" t="s">
        <v>21</v>
      </c>
      <c r="C73" s="86" t="s">
        <v>508</v>
      </c>
      <c r="D73" s="86"/>
      <c r="E73" s="56" t="s">
        <v>262</v>
      </c>
      <c r="F73" s="48">
        <v>36</v>
      </c>
    </row>
    <row r="74" ht="16.35" spans="1:6">
      <c r="A74" s="69" t="s">
        <v>385</v>
      </c>
      <c r="B74" s="70" t="s">
        <v>16</v>
      </c>
      <c r="C74" s="80" t="s">
        <v>509</v>
      </c>
      <c r="D74" s="70"/>
      <c r="E74" s="56" t="s">
        <v>267</v>
      </c>
      <c r="F74" s="48">
        <v>12</v>
      </c>
    </row>
    <row r="75" spans="1:5">
      <c r="A75" s="97"/>
      <c r="B75" s="97"/>
      <c r="C75" s="97"/>
      <c r="D75" s="97"/>
      <c r="E75" s="98"/>
    </row>
    <row r="76" ht="16.35" spans="1:5">
      <c r="A76" s="105" t="s">
        <v>510</v>
      </c>
      <c r="B76" s="105"/>
      <c r="C76" s="105"/>
      <c r="D76" s="105"/>
      <c r="E76" s="105"/>
    </row>
    <row r="77" ht="16.95" spans="1:5">
      <c r="A77" s="102" t="s">
        <v>4</v>
      </c>
      <c r="B77" s="103" t="s">
        <v>440</v>
      </c>
      <c r="C77" s="103" t="s">
        <v>434</v>
      </c>
      <c r="D77" s="103" t="s">
        <v>260</v>
      </c>
      <c r="E77" s="104" t="s">
        <v>441</v>
      </c>
    </row>
    <row r="78" ht="16.35" spans="1:6">
      <c r="A78" s="106" t="s">
        <v>511</v>
      </c>
      <c r="B78" s="80" t="s">
        <v>512</v>
      </c>
      <c r="C78" s="80" t="s">
        <v>513</v>
      </c>
      <c r="D78" s="80"/>
      <c r="E78" s="107" t="s">
        <v>262</v>
      </c>
      <c r="F78" s="48">
        <v>2</v>
      </c>
    </row>
    <row r="79" ht="16.35" spans="1:6">
      <c r="A79" s="19" t="s">
        <v>514</v>
      </c>
      <c r="B79" s="80" t="s">
        <v>512</v>
      </c>
      <c r="C79" s="80" t="s">
        <v>515</v>
      </c>
      <c r="D79" s="80"/>
      <c r="E79" s="107" t="s">
        <v>262</v>
      </c>
      <c r="F79" s="48">
        <v>2</v>
      </c>
    </row>
    <row r="80" ht="16.35" spans="1:6">
      <c r="A80" s="19" t="s">
        <v>516</v>
      </c>
      <c r="B80" s="80" t="s">
        <v>512</v>
      </c>
      <c r="C80" s="80" t="s">
        <v>517</v>
      </c>
      <c r="D80" s="80"/>
      <c r="E80" s="107" t="s">
        <v>262</v>
      </c>
      <c r="F80" s="48">
        <v>2</v>
      </c>
    </row>
  </sheetData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Roman"&amp;B&amp;G&amp;R内部使用▲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topLeftCell="A22" workbookViewId="0">
      <selection activeCell="B13" sqref="B13"/>
    </sheetView>
  </sheetViews>
  <sheetFormatPr defaultColWidth="9" defaultRowHeight="15.6"/>
  <cols>
    <col min="1" max="1" width="29.75" style="1" customWidth="1"/>
    <col min="2" max="2" width="30" style="1" customWidth="1"/>
    <col min="3" max="3" width="51.1296296296296" style="1" customWidth="1"/>
    <col min="4" max="5" width="16.3796296296296" style="1" customWidth="1"/>
    <col min="6" max="6" width="34.6296296296296" style="48" customWidth="1"/>
    <col min="7" max="7" width="26.6296296296296" style="48" customWidth="1"/>
    <col min="8" max="16384" width="9" style="1"/>
  </cols>
  <sheetData>
    <row r="1" spans="1:5">
      <c r="A1" s="63" t="s">
        <v>518</v>
      </c>
      <c r="B1" s="63"/>
      <c r="C1" s="63"/>
      <c r="D1" s="63"/>
      <c r="E1" s="63"/>
    </row>
    <row r="2" spans="1:5">
      <c r="A2" s="48" t="s">
        <v>519</v>
      </c>
      <c r="B2" s="48"/>
      <c r="C2" s="48"/>
      <c r="D2" s="48"/>
      <c r="E2" s="48"/>
    </row>
    <row r="3" spans="1:5">
      <c r="A3" s="47"/>
      <c r="B3" s="48"/>
      <c r="C3" s="48"/>
      <c r="D3" s="48"/>
      <c r="E3" s="48"/>
    </row>
    <row r="4" s="47" customFormat="1" spans="1:9">
      <c r="A4" s="51"/>
      <c r="H4" s="48"/>
      <c r="I4" s="48"/>
    </row>
    <row r="5" s="47" customFormat="1" ht="48.6" spans="1:9">
      <c r="A5" s="64" t="s">
        <v>436</v>
      </c>
      <c r="B5" s="65" t="s">
        <v>520</v>
      </c>
      <c r="H5" s="48"/>
      <c r="I5" s="48"/>
    </row>
    <row r="6" s="47" customFormat="1" ht="16.2" spans="1:9">
      <c r="A6" s="64" t="s">
        <v>438</v>
      </c>
      <c r="B6" s="66" t="s">
        <v>521</v>
      </c>
      <c r="H6" s="48"/>
      <c r="I6" s="48"/>
    </row>
    <row r="7" ht="16.2" spans="1:5">
      <c r="A7" s="66"/>
      <c r="B7" s="66"/>
      <c r="C7" s="48"/>
      <c r="D7" s="48"/>
      <c r="E7" s="48"/>
    </row>
    <row r="8" ht="16.95" spans="1:5">
      <c r="A8" s="66"/>
      <c r="B8" s="66"/>
      <c r="C8" s="66"/>
      <c r="D8" s="66"/>
      <c r="E8" s="66"/>
    </row>
    <row r="9" ht="16.95" spans="1:5">
      <c r="A9" s="67" t="s">
        <v>4</v>
      </c>
      <c r="B9" s="68" t="s">
        <v>440</v>
      </c>
      <c r="C9" s="68" t="s">
        <v>434</v>
      </c>
      <c r="D9" s="68" t="s">
        <v>260</v>
      </c>
      <c r="E9" s="53" t="s">
        <v>441</v>
      </c>
    </row>
    <row r="10" ht="47.55" spans="1:5">
      <c r="A10" s="69" t="s">
        <v>366</v>
      </c>
      <c r="B10" s="70" t="s">
        <v>53</v>
      </c>
      <c r="C10" s="70" t="s">
        <v>442</v>
      </c>
      <c r="D10" s="70">
        <v>0</v>
      </c>
      <c r="E10" s="56" t="s">
        <v>262</v>
      </c>
    </row>
    <row r="11" ht="31.95" spans="1:5">
      <c r="A11" s="69" t="s">
        <v>100</v>
      </c>
      <c r="B11" s="70" t="s">
        <v>53</v>
      </c>
      <c r="C11" s="70" t="s">
        <v>522</v>
      </c>
      <c r="D11" s="70">
        <v>655231</v>
      </c>
      <c r="E11" s="56" t="s">
        <v>262</v>
      </c>
    </row>
    <row r="12" ht="47.55" spans="1:5">
      <c r="A12" s="69" t="s">
        <v>103</v>
      </c>
      <c r="B12" s="70" t="s">
        <v>104</v>
      </c>
      <c r="C12" s="71" t="s">
        <v>523</v>
      </c>
      <c r="D12" s="70">
        <v>145620</v>
      </c>
      <c r="E12" s="56" t="s">
        <v>262</v>
      </c>
    </row>
    <row r="13" ht="16.95" spans="1:5">
      <c r="A13" s="69" t="s">
        <v>208</v>
      </c>
      <c r="B13" s="70" t="s">
        <v>524</v>
      </c>
      <c r="C13" s="72" t="s">
        <v>525</v>
      </c>
      <c r="D13" s="70"/>
      <c r="E13" s="56" t="s">
        <v>262</v>
      </c>
    </row>
    <row r="14" ht="16.2" spans="1:7">
      <c r="A14" s="73"/>
      <c r="B14" s="73"/>
      <c r="C14" s="74"/>
      <c r="D14" s="73"/>
      <c r="E14" s="60"/>
      <c r="F14" s="75"/>
      <c r="G14" s="76"/>
    </row>
    <row r="15" spans="1:5">
      <c r="A15" s="73"/>
      <c r="B15" s="73"/>
      <c r="C15" s="74"/>
      <c r="D15" s="73"/>
      <c r="E15" s="60"/>
    </row>
    <row r="16" spans="1:5">
      <c r="A16" s="59" t="s">
        <v>450</v>
      </c>
      <c r="B16" s="47"/>
      <c r="C16" s="47"/>
      <c r="D16" s="47"/>
      <c r="E16" s="47"/>
    </row>
    <row r="17" ht="16.95" spans="1:7">
      <c r="A17" s="77" t="s">
        <v>526</v>
      </c>
      <c r="B17" s="77"/>
      <c r="C17" s="77"/>
      <c r="D17" s="47"/>
      <c r="E17" s="47"/>
      <c r="F17" s="75"/>
      <c r="G17" s="76"/>
    </row>
    <row r="18" ht="16.95" spans="1:5">
      <c r="A18" s="78" t="s">
        <v>4</v>
      </c>
      <c r="B18" s="79" t="s">
        <v>440</v>
      </c>
      <c r="C18" s="79" t="s">
        <v>434</v>
      </c>
      <c r="D18" s="79" t="s">
        <v>260</v>
      </c>
      <c r="E18" s="53" t="s">
        <v>441</v>
      </c>
    </row>
    <row r="19" ht="16.35" spans="1:5">
      <c r="A19" s="69" t="s">
        <v>133</v>
      </c>
      <c r="B19" s="69" t="s">
        <v>64</v>
      </c>
      <c r="C19" s="69" t="s">
        <v>453</v>
      </c>
      <c r="D19" s="69" t="s">
        <v>527</v>
      </c>
      <c r="E19" s="56" t="s">
        <v>267</v>
      </c>
    </row>
    <row r="20" ht="16.35" spans="1:5">
      <c r="A20" s="69" t="s">
        <v>400</v>
      </c>
      <c r="B20" s="69" t="s">
        <v>131</v>
      </c>
      <c r="C20" s="69" t="s">
        <v>455</v>
      </c>
      <c r="D20" s="69">
        <v>32</v>
      </c>
      <c r="E20" s="56" t="s">
        <v>267</v>
      </c>
    </row>
    <row r="21" ht="31.95" spans="1:5">
      <c r="A21" s="69" t="s">
        <v>381</v>
      </c>
      <c r="B21" s="70" t="s">
        <v>53</v>
      </c>
      <c r="C21" s="70" t="s">
        <v>528</v>
      </c>
      <c r="D21" s="80"/>
      <c r="E21" s="56" t="s">
        <v>267</v>
      </c>
    </row>
    <row r="22" ht="16.35" spans="1:7">
      <c r="A22" s="69" t="s">
        <v>383</v>
      </c>
      <c r="B22" s="70" t="s">
        <v>53</v>
      </c>
      <c r="C22" s="70"/>
      <c r="D22" s="80"/>
      <c r="E22" s="56" t="s">
        <v>267</v>
      </c>
      <c r="G22" s="81"/>
    </row>
    <row r="23" s="62" customFormat="1" ht="16.35" spans="1:7">
      <c r="A23" s="69" t="s">
        <v>404</v>
      </c>
      <c r="B23" s="70" t="s">
        <v>53</v>
      </c>
      <c r="C23" s="70" t="s">
        <v>457</v>
      </c>
      <c r="D23" s="80"/>
      <c r="E23" s="56" t="s">
        <v>267</v>
      </c>
      <c r="F23" s="48"/>
      <c r="G23" s="81"/>
    </row>
    <row r="24" ht="31.95" spans="1:5">
      <c r="A24" s="82" t="s">
        <v>68</v>
      </c>
      <c r="B24" s="80" t="s">
        <v>21</v>
      </c>
      <c r="C24" s="80" t="s">
        <v>458</v>
      </c>
      <c r="D24" s="80"/>
      <c r="E24" s="56" t="s">
        <v>267</v>
      </c>
    </row>
    <row r="25" ht="31.95" spans="1:5">
      <c r="A25" s="82" t="s">
        <v>10</v>
      </c>
      <c r="B25" s="80" t="s">
        <v>11</v>
      </c>
      <c r="C25" s="80" t="s">
        <v>529</v>
      </c>
      <c r="D25" s="80" t="s">
        <v>530</v>
      </c>
      <c r="E25" s="56" t="s">
        <v>262</v>
      </c>
    </row>
    <row r="26" ht="16.95" spans="1:5">
      <c r="A26" s="69" t="s">
        <v>117</v>
      </c>
      <c r="B26" s="70" t="s">
        <v>531</v>
      </c>
      <c r="C26" s="70" t="s">
        <v>532</v>
      </c>
      <c r="D26" s="70"/>
      <c r="E26" s="56" t="s">
        <v>262</v>
      </c>
    </row>
    <row r="27" spans="1:5">
      <c r="A27" s="73"/>
      <c r="B27" s="73"/>
      <c r="C27" s="73"/>
      <c r="D27" s="73"/>
      <c r="E27" s="60"/>
    </row>
    <row r="28" spans="1:5">
      <c r="A28" s="73"/>
      <c r="B28" s="73"/>
      <c r="C28" s="73"/>
      <c r="D28" s="73"/>
      <c r="E28" s="60"/>
    </row>
    <row r="29" spans="1:5">
      <c r="A29" s="59" t="s">
        <v>450</v>
      </c>
      <c r="B29" s="47"/>
      <c r="C29" s="47"/>
      <c r="D29" s="47"/>
      <c r="E29" s="47"/>
    </row>
    <row r="30" ht="16.35" spans="1:5">
      <c r="A30" s="77" t="s">
        <v>533</v>
      </c>
      <c r="B30" s="77"/>
      <c r="C30" s="77"/>
      <c r="D30" s="77"/>
      <c r="E30" s="48"/>
    </row>
    <row r="31" ht="16.95" spans="1:6">
      <c r="A31" s="78" t="s">
        <v>4</v>
      </c>
      <c r="B31" s="79" t="s">
        <v>440</v>
      </c>
      <c r="C31" s="79" t="s">
        <v>434</v>
      </c>
      <c r="D31" s="79" t="s">
        <v>260</v>
      </c>
      <c r="E31" s="53" t="s">
        <v>441</v>
      </c>
      <c r="F31" s="83"/>
    </row>
    <row r="32" ht="63.15" spans="1:5">
      <c r="A32" s="82" t="s">
        <v>113</v>
      </c>
      <c r="B32" s="82" t="s">
        <v>114</v>
      </c>
      <c r="C32" s="82" t="s">
        <v>534</v>
      </c>
      <c r="D32" s="82" t="s">
        <v>464</v>
      </c>
      <c r="E32" s="56" t="s">
        <v>262</v>
      </c>
    </row>
    <row r="33" ht="109.95" spans="1:5">
      <c r="A33" s="82" t="s">
        <v>130</v>
      </c>
      <c r="B33" s="82" t="s">
        <v>131</v>
      </c>
      <c r="C33" s="82" t="s">
        <v>535</v>
      </c>
      <c r="D33" s="82" t="s">
        <v>536</v>
      </c>
      <c r="E33" s="56" t="s">
        <v>262</v>
      </c>
    </row>
    <row r="34" ht="16.95" spans="1:5">
      <c r="A34" s="82" t="s">
        <v>224</v>
      </c>
      <c r="B34" s="80" t="s">
        <v>537</v>
      </c>
      <c r="C34" s="80" t="s">
        <v>538</v>
      </c>
      <c r="D34" s="80"/>
      <c r="E34" s="56" t="s">
        <v>262</v>
      </c>
    </row>
    <row r="35" spans="1:5">
      <c r="A35" s="59" t="s">
        <v>450</v>
      </c>
      <c r="B35" s="47"/>
      <c r="C35" s="47"/>
      <c r="D35" s="47"/>
      <c r="E35" s="47"/>
    </row>
    <row r="36" spans="1:5">
      <c r="A36" s="51" t="s">
        <v>450</v>
      </c>
      <c r="B36" s="47"/>
      <c r="C36" s="47"/>
      <c r="D36" s="47"/>
      <c r="E36" s="47"/>
    </row>
  </sheetData>
  <mergeCells count="4">
    <mergeCell ref="A1:D1"/>
    <mergeCell ref="A2:D2"/>
    <mergeCell ref="A17:C17"/>
    <mergeCell ref="A30:D30"/>
  </mergeCells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Roman"&amp;B&amp;G&amp;R内部使用▲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zoomScale="90" zoomScaleNormal="90" workbookViewId="0">
      <selection activeCell="D10" sqref="D10"/>
    </sheetView>
  </sheetViews>
  <sheetFormatPr defaultColWidth="9" defaultRowHeight="15.6" outlineLevelCol="6"/>
  <cols>
    <col min="1" max="1" width="35.75" style="47" customWidth="1"/>
    <col min="2" max="2" width="26.1296296296296" style="47" customWidth="1"/>
    <col min="3" max="3" width="51.6296296296296" style="47" customWidth="1"/>
    <col min="4" max="4" width="20.25" style="47" customWidth="1"/>
    <col min="5" max="5" width="11.25" style="47" customWidth="1"/>
    <col min="6" max="6" width="30.6296296296296" style="48" customWidth="1"/>
    <col min="7" max="7" width="26" style="48" customWidth="1"/>
    <col min="8" max="16384" width="9" style="47"/>
  </cols>
  <sheetData>
    <row r="1" ht="19.2" spans="1:3">
      <c r="A1" s="49" t="s">
        <v>539</v>
      </c>
      <c r="B1" s="50"/>
      <c r="C1" s="50"/>
    </row>
    <row r="2" ht="19.2" spans="1:3">
      <c r="A2" s="49" t="s">
        <v>540</v>
      </c>
      <c r="B2" s="50"/>
      <c r="C2" s="50"/>
    </row>
    <row r="3" spans="6:7">
      <c r="F3" s="48" t="s">
        <v>433</v>
      </c>
      <c r="G3" s="48" t="s">
        <v>434</v>
      </c>
    </row>
    <row r="4" spans="1:1">
      <c r="A4" s="51" t="s">
        <v>541</v>
      </c>
    </row>
    <row r="5" spans="1:1">
      <c r="A5" s="51"/>
    </row>
    <row r="6" ht="16.35" spans="1:1">
      <c r="A6" s="51"/>
    </row>
    <row r="7" ht="16.95" spans="1:5">
      <c r="A7" s="52" t="s">
        <v>4</v>
      </c>
      <c r="B7" s="53" t="s">
        <v>440</v>
      </c>
      <c r="C7" s="53" t="s">
        <v>434</v>
      </c>
      <c r="D7" s="53" t="s">
        <v>260</v>
      </c>
      <c r="E7" s="53" t="s">
        <v>441</v>
      </c>
    </row>
    <row r="8" ht="47.55" spans="1:6">
      <c r="A8" s="54" t="s">
        <v>366</v>
      </c>
      <c r="B8" s="55" t="s">
        <v>53</v>
      </c>
      <c r="C8" s="55" t="s">
        <v>542</v>
      </c>
      <c r="D8" s="55">
        <v>3</v>
      </c>
      <c r="E8" s="56" t="s">
        <v>262</v>
      </c>
      <c r="F8" s="48">
        <v>8</v>
      </c>
    </row>
    <row r="9" ht="31.95" spans="1:6">
      <c r="A9" s="54" t="s">
        <v>100</v>
      </c>
      <c r="B9" s="55" t="s">
        <v>53</v>
      </c>
      <c r="C9" s="57" t="s">
        <v>443</v>
      </c>
      <c r="D9" s="55">
        <v>655231</v>
      </c>
      <c r="E9" s="56" t="s">
        <v>262</v>
      </c>
      <c r="F9" s="48">
        <v>8</v>
      </c>
    </row>
    <row r="10" ht="16.35" spans="1:6">
      <c r="A10" s="54" t="s">
        <v>103</v>
      </c>
      <c r="B10" s="55" t="s">
        <v>104</v>
      </c>
      <c r="C10" s="58" t="s">
        <v>543</v>
      </c>
      <c r="D10" s="55"/>
      <c r="E10" s="56" t="s">
        <v>262</v>
      </c>
      <c r="F10" s="48">
        <v>12</v>
      </c>
    </row>
    <row r="11" ht="16.95" spans="1:5">
      <c r="A11" s="54" t="s">
        <v>47</v>
      </c>
      <c r="B11" s="55" t="s">
        <v>445</v>
      </c>
      <c r="C11" s="55" t="s">
        <v>544</v>
      </c>
      <c r="D11" s="55" t="s">
        <v>545</v>
      </c>
      <c r="E11" s="56" t="s">
        <v>262</v>
      </c>
    </row>
    <row r="12" spans="1:7">
      <c r="A12" s="59" t="s">
        <v>450</v>
      </c>
      <c r="F12" s="47"/>
      <c r="G12" s="47"/>
    </row>
    <row r="13" spans="1:5">
      <c r="A13" s="60"/>
      <c r="B13" s="60"/>
      <c r="C13" s="60"/>
      <c r="D13" s="60"/>
      <c r="E13" s="61"/>
    </row>
  </sheetData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Roman"&amp;B&amp;G&amp;R内部使用▲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40" zoomScaleNormal="140" workbookViewId="0">
      <selection activeCell="A2" sqref="A1:A2"/>
    </sheetView>
  </sheetViews>
  <sheetFormatPr defaultColWidth="10" defaultRowHeight="15.6"/>
  <cols>
    <col min="1" max="16384" width="10" style="46"/>
  </cols>
  <sheetData/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Roman"&amp;B&amp;G&amp;R内部使用▲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zoomScale="115" zoomScaleNormal="115" workbookViewId="0">
      <selection activeCell="D30" sqref="D30"/>
    </sheetView>
  </sheetViews>
  <sheetFormatPr defaultColWidth="9" defaultRowHeight="15.6" outlineLevelCol="5"/>
  <cols>
    <col min="1" max="1" width="9" style="3"/>
    <col min="2" max="2" width="25.25" style="3" customWidth="1"/>
    <col min="3" max="3" width="15.25" style="3" customWidth="1"/>
    <col min="4" max="4" width="51.6296296296296" style="3" customWidth="1"/>
    <col min="5" max="5" width="20.25" style="3" customWidth="1"/>
    <col min="6" max="6" width="33.6296296296296" style="3" customWidth="1"/>
    <col min="7" max="7" width="10.1296296296296" style="3" hidden="1" customWidth="1"/>
    <col min="8" max="8" width="18" style="3" hidden="1" customWidth="1"/>
    <col min="9" max="9" width="26.6296296296296" style="3" customWidth="1"/>
    <col min="10" max="16384" width="9" style="3"/>
  </cols>
  <sheetData>
    <row r="1" ht="19.2" spans="2:4">
      <c r="B1" s="26" t="s">
        <v>432</v>
      </c>
      <c r="C1" s="27"/>
      <c r="D1" s="27"/>
    </row>
    <row r="3" ht="16.35" spans="2:2">
      <c r="B3" s="25" t="s">
        <v>435</v>
      </c>
    </row>
    <row r="4" ht="16.95" spans="2:6">
      <c r="B4" s="28" t="s">
        <v>4</v>
      </c>
      <c r="C4" s="29" t="s">
        <v>440</v>
      </c>
      <c r="D4" s="29" t="s">
        <v>434</v>
      </c>
      <c r="E4" s="29" t="s">
        <v>260</v>
      </c>
      <c r="F4" s="29" t="s">
        <v>441</v>
      </c>
    </row>
    <row r="5" ht="47.55" spans="1:6">
      <c r="A5" s="3" t="s">
        <v>269</v>
      </c>
      <c r="B5" s="30" t="s">
        <v>366</v>
      </c>
      <c r="C5" s="31" t="s">
        <v>53</v>
      </c>
      <c r="D5" s="31" t="s">
        <v>442</v>
      </c>
      <c r="E5" s="31">
        <v>0</v>
      </c>
      <c r="F5" s="31" t="s">
        <v>262</v>
      </c>
    </row>
    <row r="6" ht="31.95" spans="1:6">
      <c r="A6" s="3" t="s">
        <v>546</v>
      </c>
      <c r="B6" s="30" t="s">
        <v>100</v>
      </c>
      <c r="C6" s="31" t="s">
        <v>53</v>
      </c>
      <c r="D6" s="32" t="s">
        <v>443</v>
      </c>
      <c r="E6" s="31">
        <v>655231</v>
      </c>
      <c r="F6" s="31" t="s">
        <v>262</v>
      </c>
    </row>
    <row r="7" ht="47.55" spans="1:6">
      <c r="A7" s="3" t="s">
        <v>547</v>
      </c>
      <c r="B7" s="30" t="s">
        <v>103</v>
      </c>
      <c r="C7" s="31" t="s">
        <v>104</v>
      </c>
      <c r="D7" s="33" t="s">
        <v>444</v>
      </c>
      <c r="E7" s="31">
        <v>1701023444000</v>
      </c>
      <c r="F7" s="31" t="s">
        <v>262</v>
      </c>
    </row>
    <row r="8" ht="33.15" spans="1:6">
      <c r="A8" s="3" t="s">
        <v>548</v>
      </c>
      <c r="B8" s="30" t="s">
        <v>47</v>
      </c>
      <c r="C8" s="31" t="s">
        <v>445</v>
      </c>
      <c r="D8" s="31" t="s">
        <v>446</v>
      </c>
      <c r="E8" s="31" t="s">
        <v>447</v>
      </c>
      <c r="F8" s="31" t="s">
        <v>267</v>
      </c>
    </row>
    <row r="9" spans="2:6">
      <c r="B9" s="34"/>
      <c r="C9" s="34"/>
      <c r="D9" s="34"/>
      <c r="E9" s="34"/>
      <c r="F9" s="34"/>
    </row>
    <row r="10" spans="2:2">
      <c r="B10" s="5" t="s">
        <v>450</v>
      </c>
    </row>
    <row r="11" ht="16.35" spans="2:2">
      <c r="B11" s="5" t="s">
        <v>451</v>
      </c>
    </row>
    <row r="12" ht="16.95" spans="2:6">
      <c r="B12" s="17" t="s">
        <v>4</v>
      </c>
      <c r="C12" s="18" t="s">
        <v>440</v>
      </c>
      <c r="D12" s="18" t="s">
        <v>434</v>
      </c>
      <c r="E12" s="18" t="s">
        <v>260</v>
      </c>
      <c r="F12" s="18" t="s">
        <v>441</v>
      </c>
    </row>
    <row r="13" ht="16.35" spans="1:6">
      <c r="A13" s="3" t="s">
        <v>284</v>
      </c>
      <c r="B13" s="10" t="s">
        <v>94</v>
      </c>
      <c r="C13" s="11" t="s">
        <v>16</v>
      </c>
      <c r="D13" s="11" t="s">
        <v>286</v>
      </c>
      <c r="E13" s="11">
        <v>120.1231231</v>
      </c>
      <c r="F13" s="11" t="s">
        <v>262</v>
      </c>
    </row>
    <row r="14" ht="16.35" spans="1:6">
      <c r="A14" s="3" t="s">
        <v>285</v>
      </c>
      <c r="B14" s="10" t="s">
        <v>88</v>
      </c>
      <c r="C14" s="11" t="s">
        <v>16</v>
      </c>
      <c r="D14" s="11" t="s">
        <v>288</v>
      </c>
      <c r="E14" s="11">
        <v>30.7654521</v>
      </c>
      <c r="F14" s="11" t="s">
        <v>262</v>
      </c>
    </row>
    <row r="15" ht="16.35" spans="1:6">
      <c r="A15" s="3" t="s">
        <v>287</v>
      </c>
      <c r="B15" s="10" t="s">
        <v>15</v>
      </c>
      <c r="C15" s="11" t="s">
        <v>16</v>
      </c>
      <c r="D15" s="11" t="s">
        <v>289</v>
      </c>
      <c r="E15" s="35">
        <v>60.21</v>
      </c>
      <c r="F15" s="11" t="s">
        <v>262</v>
      </c>
    </row>
    <row r="16" spans="2:2">
      <c r="B16" s="5" t="s">
        <v>450</v>
      </c>
    </row>
    <row r="17" ht="16.35" spans="2:2">
      <c r="B17" s="5" t="s">
        <v>452</v>
      </c>
    </row>
    <row r="18" ht="16.95" spans="2:6">
      <c r="B18" s="17" t="s">
        <v>4</v>
      </c>
      <c r="C18" s="18" t="s">
        <v>440</v>
      </c>
      <c r="D18" s="18" t="s">
        <v>434</v>
      </c>
      <c r="E18" s="18" t="s">
        <v>260</v>
      </c>
      <c r="F18" s="18" t="s">
        <v>441</v>
      </c>
    </row>
    <row r="19" ht="93.6" spans="1:6">
      <c r="A19" s="3" t="s">
        <v>549</v>
      </c>
      <c r="B19" s="21" t="s">
        <v>63</v>
      </c>
      <c r="C19" s="21" t="s">
        <v>64</v>
      </c>
      <c r="D19" s="23" t="s">
        <v>550</v>
      </c>
      <c r="E19" s="23" t="s">
        <v>551</v>
      </c>
      <c r="F19" s="21" t="s">
        <v>267</v>
      </c>
    </row>
    <row r="20" ht="31.95" spans="1:6">
      <c r="A20" s="3" t="s">
        <v>552</v>
      </c>
      <c r="B20" s="19" t="s">
        <v>68</v>
      </c>
      <c r="C20" s="36" t="s">
        <v>21</v>
      </c>
      <c r="D20" s="20" t="s">
        <v>458</v>
      </c>
      <c r="E20" s="20"/>
      <c r="F20" s="20" t="s">
        <v>553</v>
      </c>
    </row>
    <row r="21" ht="16.95" spans="1:6">
      <c r="A21" s="3" t="s">
        <v>554</v>
      </c>
      <c r="B21" s="10" t="s">
        <v>56</v>
      </c>
      <c r="C21" s="11" t="s">
        <v>459</v>
      </c>
      <c r="D21" s="11" t="s">
        <v>460</v>
      </c>
      <c r="E21" s="11"/>
      <c r="F21" s="11" t="s">
        <v>262</v>
      </c>
    </row>
    <row r="22" spans="2:6">
      <c r="B22" s="14"/>
      <c r="C22" s="14"/>
      <c r="D22" s="14"/>
      <c r="E22" s="14"/>
      <c r="F22" s="14"/>
    </row>
    <row r="23" spans="2:2">
      <c r="B23" s="5" t="s">
        <v>450</v>
      </c>
    </row>
    <row r="24" ht="16.35" spans="2:2">
      <c r="B24" s="5" t="s">
        <v>462</v>
      </c>
    </row>
    <row r="25" ht="16.95" spans="2:6">
      <c r="B25" s="17" t="s">
        <v>4</v>
      </c>
      <c r="C25" s="18" t="s">
        <v>440</v>
      </c>
      <c r="D25" s="18" t="s">
        <v>434</v>
      </c>
      <c r="E25" s="18" t="s">
        <v>260</v>
      </c>
      <c r="F25" s="18" t="s">
        <v>441</v>
      </c>
    </row>
    <row r="26" ht="47.55" spans="1:6">
      <c r="A26" s="3" t="s">
        <v>549</v>
      </c>
      <c r="B26" s="21" t="s">
        <v>113</v>
      </c>
      <c r="C26" s="37" t="s">
        <v>114</v>
      </c>
      <c r="D26" s="38" t="s">
        <v>463</v>
      </c>
      <c r="E26" s="39" t="s">
        <v>464</v>
      </c>
      <c r="F26" s="39" t="s">
        <v>262</v>
      </c>
    </row>
    <row r="27" ht="93.6" spans="1:6">
      <c r="A27" s="3" t="s">
        <v>269</v>
      </c>
      <c r="B27" s="39" t="s">
        <v>130</v>
      </c>
      <c r="C27" s="39" t="s">
        <v>131</v>
      </c>
      <c r="D27" s="39" t="s">
        <v>535</v>
      </c>
      <c r="E27" s="40" t="s">
        <v>555</v>
      </c>
      <c r="F27" s="39" t="s">
        <v>262</v>
      </c>
    </row>
    <row r="28" ht="31.2" spans="1:6">
      <c r="A28" s="3" t="s">
        <v>556</v>
      </c>
      <c r="B28" s="41" t="s">
        <v>125</v>
      </c>
      <c r="C28" s="42" t="s">
        <v>126</v>
      </c>
      <c r="D28" s="40" t="s">
        <v>469</v>
      </c>
      <c r="E28" s="40"/>
      <c r="F28" s="40" t="s">
        <v>262</v>
      </c>
    </row>
    <row r="29" spans="2:2">
      <c r="B29" s="5" t="s">
        <v>450</v>
      </c>
    </row>
    <row r="30" ht="16.35" spans="2:2">
      <c r="B30" s="5" t="s">
        <v>473</v>
      </c>
    </row>
    <row r="31" ht="16.95" spans="2:6">
      <c r="B31" s="17" t="s">
        <v>4</v>
      </c>
      <c r="C31" s="18" t="s">
        <v>440</v>
      </c>
      <c r="D31" s="18" t="s">
        <v>434</v>
      </c>
      <c r="E31" s="18" t="s">
        <v>260</v>
      </c>
      <c r="F31" s="43" t="s">
        <v>441</v>
      </c>
    </row>
    <row r="32" ht="16.35" spans="1:6">
      <c r="A32" s="3" t="s">
        <v>412</v>
      </c>
      <c r="B32" s="10" t="s">
        <v>197</v>
      </c>
      <c r="C32" s="11" t="s">
        <v>104</v>
      </c>
      <c r="D32" s="11" t="s">
        <v>474</v>
      </c>
      <c r="E32" s="11"/>
      <c r="F32" s="11" t="s">
        <v>267</v>
      </c>
    </row>
    <row r="33" ht="16.95" spans="1:6">
      <c r="A33" s="3" t="s">
        <v>557</v>
      </c>
      <c r="B33" s="44" t="s">
        <v>91</v>
      </c>
      <c r="C33" s="45" t="s">
        <v>21</v>
      </c>
      <c r="D33" s="35" t="s">
        <v>475</v>
      </c>
      <c r="E33" s="35"/>
      <c r="F33" s="35" t="s">
        <v>262</v>
      </c>
    </row>
    <row r="34" ht="16.35" spans="1:6">
      <c r="A34" s="3" t="s">
        <v>558</v>
      </c>
      <c r="B34" s="10" t="s">
        <v>202</v>
      </c>
      <c r="C34" s="11" t="s">
        <v>16</v>
      </c>
      <c r="D34" s="11" t="s">
        <v>559</v>
      </c>
      <c r="E34" s="11"/>
      <c r="F34" s="11" t="s">
        <v>262</v>
      </c>
    </row>
    <row r="35" ht="16.35" spans="1:6">
      <c r="A35" s="3" t="s">
        <v>560</v>
      </c>
      <c r="B35" s="10" t="s">
        <v>389</v>
      </c>
      <c r="C35" s="11" t="s">
        <v>16</v>
      </c>
      <c r="D35" s="11" t="s">
        <v>477</v>
      </c>
      <c r="E35" s="11"/>
      <c r="F35" s="11" t="s">
        <v>267</v>
      </c>
    </row>
    <row r="36" ht="16.35" spans="1:6">
      <c r="A36" s="3" t="s">
        <v>561</v>
      </c>
      <c r="B36" s="10" t="s">
        <v>391</v>
      </c>
      <c r="C36" s="11" t="s">
        <v>16</v>
      </c>
      <c r="D36" s="11" t="s">
        <v>478</v>
      </c>
      <c r="E36" s="11"/>
      <c r="F36" s="11" t="s">
        <v>267</v>
      </c>
    </row>
    <row r="37" ht="16.35" spans="1:6">
      <c r="A37" s="3" t="s">
        <v>562</v>
      </c>
      <c r="B37" s="10" t="s">
        <v>393</v>
      </c>
      <c r="C37" s="11" t="s">
        <v>16</v>
      </c>
      <c r="D37" s="11" t="s">
        <v>479</v>
      </c>
      <c r="E37" s="11"/>
      <c r="F37" s="11" t="s">
        <v>267</v>
      </c>
    </row>
  </sheetData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opLeftCell="A7" workbookViewId="0">
      <selection activeCell="E24" sqref="E24"/>
    </sheetView>
  </sheetViews>
  <sheetFormatPr defaultColWidth="9" defaultRowHeight="15.6" outlineLevelCol="5"/>
  <cols>
    <col min="1" max="1" width="9" style="1"/>
    <col min="2" max="2" width="23.6296296296296" style="1" customWidth="1"/>
    <col min="3" max="3" width="24.5" style="1" customWidth="1"/>
    <col min="4" max="4" width="51.1296296296296" style="1" customWidth="1"/>
    <col min="5" max="5" width="16.3796296296296" style="1" customWidth="1"/>
    <col min="6" max="16384" width="9" style="1"/>
  </cols>
  <sheetData>
    <row r="1" spans="2:6">
      <c r="B1" s="2" t="s">
        <v>518</v>
      </c>
      <c r="C1" s="2"/>
      <c r="D1" s="2"/>
      <c r="E1" s="2"/>
      <c r="F1" s="3"/>
    </row>
    <row r="2" spans="2:6">
      <c r="B2" s="4" t="s">
        <v>519</v>
      </c>
      <c r="C2" s="4"/>
      <c r="D2" s="4"/>
      <c r="E2" s="4"/>
      <c r="F2" s="3"/>
    </row>
    <row r="3" ht="16.35" spans="2:6">
      <c r="B3" s="5" t="s">
        <v>450</v>
      </c>
      <c r="C3" s="3"/>
      <c r="D3" s="3"/>
      <c r="E3" s="3"/>
      <c r="F3" s="3"/>
    </row>
    <row r="4" ht="33.15" spans="2:6">
      <c r="B4" s="6" t="s">
        <v>4</v>
      </c>
      <c r="C4" s="7" t="s">
        <v>440</v>
      </c>
      <c r="D4" s="7" t="s">
        <v>434</v>
      </c>
      <c r="E4" s="7" t="s">
        <v>260</v>
      </c>
      <c r="F4" s="8" t="s">
        <v>441</v>
      </c>
    </row>
    <row r="5" ht="47.55" spans="1:6">
      <c r="A5" s="9" t="s">
        <v>269</v>
      </c>
      <c r="B5" s="10" t="s">
        <v>366</v>
      </c>
      <c r="C5" s="11" t="s">
        <v>53</v>
      </c>
      <c r="D5" s="11" t="s">
        <v>442</v>
      </c>
      <c r="E5" s="11">
        <v>0</v>
      </c>
      <c r="F5" s="11" t="s">
        <v>262</v>
      </c>
    </row>
    <row r="6" ht="31.95" spans="1:6">
      <c r="A6" s="9" t="s">
        <v>546</v>
      </c>
      <c r="B6" s="10" t="s">
        <v>100</v>
      </c>
      <c r="C6" s="11" t="s">
        <v>53</v>
      </c>
      <c r="D6" s="11" t="s">
        <v>522</v>
      </c>
      <c r="E6" s="11">
        <v>655231</v>
      </c>
      <c r="F6" s="11" t="s">
        <v>262</v>
      </c>
    </row>
    <row r="7" ht="47.55" spans="1:6">
      <c r="A7" s="9" t="s">
        <v>547</v>
      </c>
      <c r="B7" s="10" t="s">
        <v>103</v>
      </c>
      <c r="C7" s="11" t="s">
        <v>104</v>
      </c>
      <c r="D7" s="12" t="s">
        <v>523</v>
      </c>
      <c r="E7" s="11">
        <v>145620</v>
      </c>
      <c r="F7" s="11" t="s">
        <v>262</v>
      </c>
    </row>
    <row r="8" ht="33.15" spans="1:6">
      <c r="A8" s="9" t="s">
        <v>563</v>
      </c>
      <c r="B8" s="10" t="s">
        <v>208</v>
      </c>
      <c r="C8" s="11" t="s">
        <v>524</v>
      </c>
      <c r="D8" s="13" t="s">
        <v>525</v>
      </c>
      <c r="E8" s="11"/>
      <c r="F8" s="11" t="s">
        <v>262</v>
      </c>
    </row>
    <row r="9" spans="1:6">
      <c r="A9" s="9"/>
      <c r="B9" s="14"/>
      <c r="C9" s="14"/>
      <c r="D9" s="15"/>
      <c r="E9" s="14"/>
      <c r="F9" s="14"/>
    </row>
    <row r="10" spans="1:6">
      <c r="A10" s="9"/>
      <c r="B10" s="14"/>
      <c r="C10" s="14"/>
      <c r="D10" s="15"/>
      <c r="E10" s="14"/>
      <c r="F10" s="14"/>
    </row>
    <row r="11" spans="1:6">
      <c r="A11" s="9"/>
      <c r="B11" s="5" t="s">
        <v>450</v>
      </c>
      <c r="C11" s="3"/>
      <c r="D11" s="3"/>
      <c r="E11" s="3"/>
      <c r="F11" s="3"/>
    </row>
    <row r="12" ht="16.35" spans="1:6">
      <c r="A12" s="9"/>
      <c r="B12" s="16" t="s">
        <v>526</v>
      </c>
      <c r="C12" s="16"/>
      <c r="D12" s="16"/>
      <c r="E12" s="3"/>
      <c r="F12" s="3"/>
    </row>
    <row r="13" ht="33.15" spans="1:6">
      <c r="A13" s="9"/>
      <c r="B13" s="17" t="s">
        <v>4</v>
      </c>
      <c r="C13" s="18" t="s">
        <v>440</v>
      </c>
      <c r="D13" s="18" t="s">
        <v>434</v>
      </c>
      <c r="E13" s="18" t="s">
        <v>260</v>
      </c>
      <c r="F13" s="18" t="s">
        <v>441</v>
      </c>
    </row>
    <row r="14" ht="78.75" spans="1:6">
      <c r="A14" s="9" t="s">
        <v>549</v>
      </c>
      <c r="B14" s="19" t="s">
        <v>63</v>
      </c>
      <c r="C14" s="20" t="s">
        <v>64</v>
      </c>
      <c r="D14" s="20" t="s">
        <v>564</v>
      </c>
      <c r="E14" s="20" t="s">
        <v>565</v>
      </c>
      <c r="F14" s="20" t="s">
        <v>267</v>
      </c>
    </row>
    <row r="15" ht="31.95" spans="1:6">
      <c r="A15" s="9" t="s">
        <v>552</v>
      </c>
      <c r="B15" s="19" t="s">
        <v>68</v>
      </c>
      <c r="C15" s="20" t="s">
        <v>21</v>
      </c>
      <c r="D15" s="20" t="s">
        <v>458</v>
      </c>
      <c r="E15" s="20"/>
      <c r="F15" s="20" t="s">
        <v>553</v>
      </c>
    </row>
    <row r="16" ht="31.95" spans="1:6">
      <c r="A16" s="9" t="s">
        <v>269</v>
      </c>
      <c r="B16" s="19" t="s">
        <v>10</v>
      </c>
      <c r="C16" s="20" t="s">
        <v>11</v>
      </c>
      <c r="D16" s="20" t="s">
        <v>529</v>
      </c>
      <c r="E16" s="20" t="s">
        <v>530</v>
      </c>
      <c r="F16" s="20" t="s">
        <v>262</v>
      </c>
    </row>
    <row r="17" ht="16.95" spans="1:6">
      <c r="A17" s="9" t="s">
        <v>548</v>
      </c>
      <c r="B17" s="10" t="s">
        <v>117</v>
      </c>
      <c r="C17" s="11" t="s">
        <v>531</v>
      </c>
      <c r="D17" s="11" t="s">
        <v>532</v>
      </c>
      <c r="E17" s="11"/>
      <c r="F17" s="20" t="s">
        <v>262</v>
      </c>
    </row>
    <row r="18" spans="1:6">
      <c r="A18" s="9"/>
      <c r="B18" s="14"/>
      <c r="C18" s="14"/>
      <c r="D18" s="14"/>
      <c r="E18" s="14"/>
      <c r="F18" s="14"/>
    </row>
    <row r="19" spans="1:6">
      <c r="A19" s="9"/>
      <c r="B19" s="14"/>
      <c r="C19" s="14"/>
      <c r="D19" s="14"/>
      <c r="E19" s="14"/>
      <c r="F19" s="14"/>
    </row>
    <row r="20" spans="1:6">
      <c r="A20" s="9"/>
      <c r="B20" s="5" t="s">
        <v>450</v>
      </c>
      <c r="C20" s="3"/>
      <c r="D20" s="3"/>
      <c r="E20" s="3"/>
      <c r="F20" s="3"/>
    </row>
    <row r="21" ht="16.35" spans="1:6">
      <c r="A21" s="9"/>
      <c r="B21" s="16" t="s">
        <v>533</v>
      </c>
      <c r="C21" s="16"/>
      <c r="D21" s="16"/>
      <c r="E21" s="16"/>
      <c r="F21" s="16"/>
    </row>
    <row r="22" ht="33.15" spans="1:6">
      <c r="A22" s="9"/>
      <c r="B22" s="17" t="s">
        <v>4</v>
      </c>
      <c r="C22" s="18" t="s">
        <v>440</v>
      </c>
      <c r="D22" s="18" t="s">
        <v>434</v>
      </c>
      <c r="E22" s="18" t="s">
        <v>260</v>
      </c>
      <c r="F22" s="18" t="s">
        <v>441</v>
      </c>
    </row>
    <row r="23" ht="14.25" customHeight="1" spans="1:6">
      <c r="A23" s="9" t="s">
        <v>549</v>
      </c>
      <c r="B23" s="21" t="s">
        <v>113</v>
      </c>
      <c r="C23" s="21" t="s">
        <v>114</v>
      </c>
      <c r="D23" s="22" t="s">
        <v>534</v>
      </c>
      <c r="E23" s="21" t="s">
        <v>464</v>
      </c>
      <c r="F23" s="21" t="s">
        <v>262</v>
      </c>
    </row>
    <row r="24" ht="109.2" spans="1:6">
      <c r="A24" s="9" t="s">
        <v>269</v>
      </c>
      <c r="B24" s="21" t="s">
        <v>130</v>
      </c>
      <c r="C24" s="21" t="s">
        <v>131</v>
      </c>
      <c r="D24" s="21" t="s">
        <v>535</v>
      </c>
      <c r="E24" s="23" t="s">
        <v>536</v>
      </c>
      <c r="F24" s="21" t="s">
        <v>262</v>
      </c>
    </row>
    <row r="25" ht="16.95" spans="1:6">
      <c r="A25" s="9" t="s">
        <v>556</v>
      </c>
      <c r="B25" s="19" t="s">
        <v>224</v>
      </c>
      <c r="C25" s="20" t="s">
        <v>537</v>
      </c>
      <c r="D25" s="24" t="s">
        <v>538</v>
      </c>
      <c r="E25" s="20"/>
      <c r="F25" s="20"/>
    </row>
    <row r="26" spans="2:6">
      <c r="B26" s="5" t="s">
        <v>450</v>
      </c>
      <c r="C26" s="3"/>
      <c r="D26" s="3"/>
      <c r="E26" s="3"/>
      <c r="F26" s="3"/>
    </row>
    <row r="27" spans="2:6">
      <c r="B27" s="25" t="s">
        <v>450</v>
      </c>
      <c r="C27" s="3"/>
      <c r="D27" s="3"/>
      <c r="E27" s="3"/>
      <c r="F27" s="3"/>
    </row>
  </sheetData>
  <mergeCells count="4">
    <mergeCell ref="B1:E1"/>
    <mergeCell ref="B2:E2"/>
    <mergeCell ref="B12:D12"/>
    <mergeCell ref="B21:F21"/>
  </mergeCells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TLV</vt:lpstr>
      <vt:lpstr>修改记录</vt:lpstr>
      <vt:lpstr>复合结构</vt:lpstr>
      <vt:lpstr>NS SETUP</vt:lpstr>
      <vt:lpstr>NS CONFIGURATION UPDATE</vt:lpstr>
      <vt:lpstr>SF CONFIGURATION UPDATE</vt:lpstr>
      <vt:lpstr>SENSING START</vt:lpstr>
      <vt:lpstr>SENSING STOP</vt:lpstr>
      <vt:lpstr>NS CONFIGURATION TRANSFER</vt:lpstr>
      <vt:lpstr>SF REST</vt:lpstr>
      <vt:lpstr>用户面TLV定义</vt:lpstr>
      <vt:lpstr>NS SENSE MEASUREMENT REPORT TLV</vt:lpstr>
      <vt:lpstr>NS SENSE HISTORY UPDATE TLV</vt:lpstr>
      <vt:lpstr>NS HEARTBEAT</vt:lpstr>
      <vt:lpstr>Sheet1</vt:lpstr>
      <vt:lpstr>NS SENSE MEASUREMENT REPORT</vt:lpstr>
      <vt:lpstr>NS SENSE HISTORY UPDATE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张成瑞10055594</dc:creator>
  <cp:lastModifiedBy>Administrator</cp:lastModifiedBy>
  <dcterms:created xsi:type="dcterms:W3CDTF">2023-12-13T00:35:00Z</dcterms:created>
  <dcterms:modified xsi:type="dcterms:W3CDTF">2025-03-13T02:15:50Z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28B014EB8966497E8956A7E9678A0ACB</vt:lpwstr>
  </property>
</Properties>
</file>